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32" windowWidth="23952" windowHeight="9780" activeTab="2"/>
  </bookViews>
  <sheets>
    <sheet name="Accounting Sheet" sheetId="4" r:id="rId1"/>
    <sheet name="raw_daily_calls" sheetId="5" r:id="rId2"/>
    <sheet name="raw inputs" sheetId="2" r:id="rId3"/>
    <sheet name="all downloaded data crosstab" sheetId="3" r:id="rId4"/>
    <sheet name="xml-rpc test" sheetId="1" r:id="rId5"/>
  </sheets>
  <definedNames>
    <definedName name="data_inputs">'all downloaded data crosstab'!$A$3:$N$34</definedName>
    <definedName name="data_inputs_dates">'all downloaded data crosstab'!$A$3:$A$34</definedName>
    <definedName name="data_inputs_indices">'raw inputs'!$A$2:$A$1243</definedName>
    <definedName name="date_param">'xml-rpc test'!$B$3</definedName>
    <definedName name="param1">'xml-rpc test'!$B$3</definedName>
    <definedName name="_xlnm.Print_Area" localSheetId="0">'Accounting Sheet'!$A$1:$AN$55</definedName>
    <definedName name="raw_call_data">Table2[[ns3:InputDate]:[ns3:CallAdminNo]]</definedName>
    <definedName name="start_date">'Accounting Sheet'!$B$2</definedName>
  </definedNames>
  <calcPr calcId="125725"/>
  <pivotCaches>
    <pivotCache cacheId="8" r:id="rId6"/>
  </pivotCaches>
</workbook>
</file>

<file path=xl/calcChain.xml><?xml version="1.0" encoding="utf-8"?>
<calcChain xmlns="http://schemas.openxmlformats.org/spreadsheetml/2006/main">
  <c r="I13" i="2"/>
  <c r="I12"/>
  <c r="I11"/>
  <c r="I10"/>
  <c r="I9"/>
  <c r="I8"/>
  <c r="I7"/>
  <c r="I6"/>
  <c r="I5"/>
  <c r="I4"/>
  <c r="I3"/>
  <c r="I2"/>
  <c r="H13"/>
  <c r="H12"/>
  <c r="H11"/>
  <c r="H10"/>
  <c r="H9"/>
  <c r="H8"/>
  <c r="H7"/>
  <c r="H6"/>
  <c r="H5"/>
  <c r="H4"/>
  <c r="H3"/>
  <c r="H2"/>
  <c r="B3" i="1"/>
  <c r="A45" i="4"/>
  <c r="N45" s="1"/>
  <c r="A44"/>
  <c r="AE44" s="1"/>
  <c r="AF44" s="1"/>
  <c r="A43"/>
  <c r="Z43" s="1"/>
  <c r="AA43" s="1"/>
  <c r="A42"/>
  <c r="AE42" s="1"/>
  <c r="AF42" s="1"/>
  <c r="A41"/>
  <c r="Z41" s="1"/>
  <c r="AA41" s="1"/>
  <c r="A40"/>
  <c r="AE40" s="1"/>
  <c r="AF40" s="1"/>
  <c r="A39"/>
  <c r="Z39" s="1"/>
  <c r="AA39" s="1"/>
  <c r="A38"/>
  <c r="AE38" s="1"/>
  <c r="AF38" s="1"/>
  <c r="A37"/>
  <c r="Z37" s="1"/>
  <c r="AA37" s="1"/>
  <c r="A36"/>
  <c r="AE36" s="1"/>
  <c r="AF36" s="1"/>
  <c r="A35"/>
  <c r="Z35" s="1"/>
  <c r="AA35" s="1"/>
  <c r="A34"/>
  <c r="AE34" s="1"/>
  <c r="AF34" s="1"/>
  <c r="A33"/>
  <c r="Z33" s="1"/>
  <c r="AA33" s="1"/>
  <c r="A32"/>
  <c r="AE32" s="1"/>
  <c r="AF32" s="1"/>
  <c r="A31"/>
  <c r="Z31" s="1"/>
  <c r="AA31" s="1"/>
  <c r="A30"/>
  <c r="AE30" s="1"/>
  <c r="AF30" s="1"/>
  <c r="A29"/>
  <c r="Z29" s="1"/>
  <c r="AA29" s="1"/>
  <c r="A28"/>
  <c r="AE28" s="1"/>
  <c r="AF28" s="1"/>
  <c r="A27"/>
  <c r="Z27" s="1"/>
  <c r="AA27" s="1"/>
  <c r="A26"/>
  <c r="AE26" s="1"/>
  <c r="AF26" s="1"/>
  <c r="A25"/>
  <c r="Z25" s="1"/>
  <c r="AA25" s="1"/>
  <c r="A24"/>
  <c r="AI24" s="1"/>
  <c r="A23"/>
  <c r="Z23" s="1"/>
  <c r="AA23" s="1"/>
  <c r="A22"/>
  <c r="AI22" s="1"/>
  <c r="A21"/>
  <c r="Z21" s="1"/>
  <c r="AA21" s="1"/>
  <c r="A20"/>
  <c r="AI20" s="1"/>
  <c r="A19"/>
  <c r="Z19" s="1"/>
  <c r="AA19" s="1"/>
  <c r="A18"/>
  <c r="AI18" s="1"/>
  <c r="A17"/>
  <c r="Z17" s="1"/>
  <c r="AA17" s="1"/>
  <c r="A16"/>
  <c r="AI16" s="1"/>
  <c r="A15"/>
  <c r="Z15" s="1"/>
  <c r="M101"/>
  <c r="L101"/>
  <c r="K101"/>
  <c r="J101"/>
  <c r="L80"/>
  <c r="L79"/>
  <c r="O47"/>
  <c r="P47" s="1"/>
  <c r="G25" l="1"/>
  <c r="B14"/>
  <c r="B15"/>
  <c r="G45"/>
  <c r="N15"/>
  <c r="N17"/>
  <c r="N19"/>
  <c r="N21"/>
  <c r="N23"/>
  <c r="N25"/>
  <c r="N27"/>
  <c r="N29"/>
  <c r="N31"/>
  <c r="N33"/>
  <c r="N35"/>
  <c r="N37"/>
  <c r="N39"/>
  <c r="N41"/>
  <c r="N43"/>
  <c r="N16"/>
  <c r="N18"/>
  <c r="N20"/>
  <c r="N22"/>
  <c r="N24"/>
  <c r="N26"/>
  <c r="N28"/>
  <c r="N30"/>
  <c r="N32"/>
  <c r="N34"/>
  <c r="N36"/>
  <c r="N38"/>
  <c r="N40"/>
  <c r="N42"/>
  <c r="N44"/>
  <c r="AE16"/>
  <c r="AF16" s="1"/>
  <c r="AE20"/>
  <c r="AF20" s="1"/>
  <c r="AE24"/>
  <c r="AF24" s="1"/>
  <c r="AE18"/>
  <c r="AF18" s="1"/>
  <c r="AE22"/>
  <c r="AF22" s="1"/>
  <c r="AB15"/>
  <c r="AB17"/>
  <c r="AB19"/>
  <c r="AB21"/>
  <c r="AB23"/>
  <c r="AB25"/>
  <c r="AB27"/>
  <c r="AB29"/>
  <c r="AB31"/>
  <c r="AB33"/>
  <c r="AB35"/>
  <c r="AB37"/>
  <c r="AB39"/>
  <c r="AB41"/>
  <c r="AB43"/>
  <c r="AB45"/>
  <c r="AC45" s="1"/>
  <c r="AI15"/>
  <c r="AI17"/>
  <c r="AI19"/>
  <c r="AI21"/>
  <c r="AI23"/>
  <c r="AI25"/>
  <c r="AI27"/>
  <c r="AI29"/>
  <c r="AI31"/>
  <c r="AI33"/>
  <c r="AI35"/>
  <c r="AI37"/>
  <c r="AI39"/>
  <c r="AI41"/>
  <c r="AI43"/>
  <c r="AI45"/>
  <c r="AB16"/>
  <c r="AC16" s="1"/>
  <c r="AB18"/>
  <c r="AC18" s="1"/>
  <c r="AB20"/>
  <c r="AC20" s="1"/>
  <c r="AB22"/>
  <c r="AC22" s="1"/>
  <c r="AB24"/>
  <c r="AC24" s="1"/>
  <c r="AB26"/>
  <c r="AC26" s="1"/>
  <c r="AB28"/>
  <c r="AC28" s="1"/>
  <c r="AB30"/>
  <c r="AC30" s="1"/>
  <c r="AB32"/>
  <c r="AC32" s="1"/>
  <c r="AB34"/>
  <c r="AC34" s="1"/>
  <c r="AB36"/>
  <c r="AC36" s="1"/>
  <c r="AB38"/>
  <c r="AC38" s="1"/>
  <c r="AB40"/>
  <c r="AC40" s="1"/>
  <c r="AB42"/>
  <c r="AC42" s="1"/>
  <c r="AB44"/>
  <c r="AC44" s="1"/>
  <c r="AE15"/>
  <c r="AE17"/>
  <c r="AF17" s="1"/>
  <c r="AE19"/>
  <c r="AF19" s="1"/>
  <c r="AE21"/>
  <c r="AF21" s="1"/>
  <c r="AE23"/>
  <c r="AF23" s="1"/>
  <c r="AE25"/>
  <c r="AF25" s="1"/>
  <c r="AE27"/>
  <c r="AF27" s="1"/>
  <c r="AE29"/>
  <c r="AF29" s="1"/>
  <c r="AE31"/>
  <c r="AF31" s="1"/>
  <c r="AE33"/>
  <c r="AF33" s="1"/>
  <c r="AE35"/>
  <c r="AF35" s="1"/>
  <c r="AE37"/>
  <c r="AF37" s="1"/>
  <c r="AE39"/>
  <c r="AF39" s="1"/>
  <c r="AE41"/>
  <c r="AF41" s="1"/>
  <c r="AE43"/>
  <c r="AF43" s="1"/>
  <c r="AE45"/>
  <c r="AF45" s="1"/>
  <c r="AI26"/>
  <c r="AI28"/>
  <c r="AI30"/>
  <c r="AI32"/>
  <c r="AI34"/>
  <c r="AI36"/>
  <c r="AI38"/>
  <c r="AI40"/>
  <c r="AI42"/>
  <c r="AI44"/>
  <c r="AA15"/>
  <c r="G16"/>
  <c r="G18"/>
  <c r="G20"/>
  <c r="G22"/>
  <c r="G24"/>
  <c r="G26"/>
  <c r="G28"/>
  <c r="G30"/>
  <c r="G32"/>
  <c r="G34"/>
  <c r="G36"/>
  <c r="G38"/>
  <c r="G40"/>
  <c r="G42"/>
  <c r="G44"/>
  <c r="D15"/>
  <c r="E15" s="1"/>
  <c r="D17"/>
  <c r="E17" s="1"/>
  <c r="D19"/>
  <c r="E19" s="1"/>
  <c r="D21"/>
  <c r="E21" s="1"/>
  <c r="D23"/>
  <c r="E23" s="1"/>
  <c r="D25"/>
  <c r="E25" s="1"/>
  <c r="D27"/>
  <c r="E27" s="1"/>
  <c r="D29"/>
  <c r="E29" s="1"/>
  <c r="D31"/>
  <c r="E31" s="1"/>
  <c r="D33"/>
  <c r="E33" s="1"/>
  <c r="D35"/>
  <c r="E35" s="1"/>
  <c r="D37"/>
  <c r="E37" s="1"/>
  <c r="D39"/>
  <c r="E39" s="1"/>
  <c r="D41"/>
  <c r="E41" s="1"/>
  <c r="D43"/>
  <c r="E43" s="1"/>
  <c r="D45"/>
  <c r="E45" s="1"/>
  <c r="B16"/>
  <c r="B18"/>
  <c r="C18" s="1"/>
  <c r="B20"/>
  <c r="C20" s="1"/>
  <c r="B22"/>
  <c r="C22" s="1"/>
  <c r="B24"/>
  <c r="C24" s="1"/>
  <c r="B26"/>
  <c r="C26" s="1"/>
  <c r="B28"/>
  <c r="C28" s="1"/>
  <c r="B30"/>
  <c r="C30" s="1"/>
  <c r="B32"/>
  <c r="C32" s="1"/>
  <c r="B34"/>
  <c r="C34" s="1"/>
  <c r="B36"/>
  <c r="C36" s="1"/>
  <c r="B38"/>
  <c r="C38" s="1"/>
  <c r="B40"/>
  <c r="C40" s="1"/>
  <c r="B42"/>
  <c r="C42" s="1"/>
  <c r="B44"/>
  <c r="C44" s="1"/>
  <c r="C14"/>
  <c r="O15"/>
  <c r="O17"/>
  <c r="O19"/>
  <c r="O21"/>
  <c r="O23"/>
  <c r="O25"/>
  <c r="O27"/>
  <c r="O29"/>
  <c r="O31"/>
  <c r="O33"/>
  <c r="O35"/>
  <c r="O37"/>
  <c r="O39"/>
  <c r="O41"/>
  <c r="O43"/>
  <c r="O45"/>
  <c r="R16"/>
  <c r="S16" s="1"/>
  <c r="R18"/>
  <c r="S18" s="1"/>
  <c r="R20"/>
  <c r="S20" s="1"/>
  <c r="R22"/>
  <c r="S22" s="1"/>
  <c r="R24"/>
  <c r="S24" s="1"/>
  <c r="R26"/>
  <c r="S26" s="1"/>
  <c r="R28"/>
  <c r="S28" s="1"/>
  <c r="R30"/>
  <c r="S30" s="1"/>
  <c r="R32"/>
  <c r="S32" s="1"/>
  <c r="R34"/>
  <c r="S34" s="1"/>
  <c r="R36"/>
  <c r="S36" s="1"/>
  <c r="R38"/>
  <c r="S38" s="1"/>
  <c r="R40"/>
  <c r="S40" s="1"/>
  <c r="R42"/>
  <c r="S42" s="1"/>
  <c r="R44"/>
  <c r="S44" s="1"/>
  <c r="T15"/>
  <c r="T17"/>
  <c r="U17" s="1"/>
  <c r="T19"/>
  <c r="U19" s="1"/>
  <c r="T21"/>
  <c r="U21" s="1"/>
  <c r="T23"/>
  <c r="U23" s="1"/>
  <c r="T25"/>
  <c r="U25" s="1"/>
  <c r="T27"/>
  <c r="U27" s="1"/>
  <c r="T29"/>
  <c r="U29" s="1"/>
  <c r="T31"/>
  <c r="U31" s="1"/>
  <c r="T33"/>
  <c r="U33" s="1"/>
  <c r="T35"/>
  <c r="U35" s="1"/>
  <c r="T37"/>
  <c r="U37" s="1"/>
  <c r="T39"/>
  <c r="U39" s="1"/>
  <c r="T41"/>
  <c r="U41" s="1"/>
  <c r="T43"/>
  <c r="U43" s="1"/>
  <c r="T45"/>
  <c r="U45" s="1"/>
  <c r="V16"/>
  <c r="W16" s="1"/>
  <c r="V18"/>
  <c r="W18" s="1"/>
  <c r="V20"/>
  <c r="W20" s="1"/>
  <c r="V22"/>
  <c r="W22" s="1"/>
  <c r="V24"/>
  <c r="W24" s="1"/>
  <c r="V26"/>
  <c r="W26" s="1"/>
  <c r="V28"/>
  <c r="W28" s="1"/>
  <c r="V30"/>
  <c r="W30" s="1"/>
  <c r="V32"/>
  <c r="W32" s="1"/>
  <c r="V34"/>
  <c r="W34" s="1"/>
  <c r="V36"/>
  <c r="W36" s="1"/>
  <c r="V38"/>
  <c r="W38" s="1"/>
  <c r="V40"/>
  <c r="W40" s="1"/>
  <c r="V42"/>
  <c r="W42" s="1"/>
  <c r="V44"/>
  <c r="W44" s="1"/>
  <c r="X15"/>
  <c r="X17"/>
  <c r="Y17" s="1"/>
  <c r="X19"/>
  <c r="Y19" s="1"/>
  <c r="X21"/>
  <c r="Y21" s="1"/>
  <c r="X23"/>
  <c r="Y23" s="1"/>
  <c r="X25"/>
  <c r="Y25" s="1"/>
  <c r="X27"/>
  <c r="Y27" s="1"/>
  <c r="X29"/>
  <c r="Y29" s="1"/>
  <c r="X31"/>
  <c r="Y31" s="1"/>
  <c r="X33"/>
  <c r="Y33" s="1"/>
  <c r="X35"/>
  <c r="Y35" s="1"/>
  <c r="X37"/>
  <c r="Y37" s="1"/>
  <c r="X39"/>
  <c r="Y39" s="1"/>
  <c r="X41"/>
  <c r="Y41" s="1"/>
  <c r="X43"/>
  <c r="Y43" s="1"/>
  <c r="X45"/>
  <c r="Y45" s="1"/>
  <c r="Z16"/>
  <c r="AA16" s="1"/>
  <c r="Z18"/>
  <c r="AA18" s="1"/>
  <c r="Z20"/>
  <c r="AA20" s="1"/>
  <c r="Z22"/>
  <c r="AA22" s="1"/>
  <c r="Z24"/>
  <c r="AA24" s="1"/>
  <c r="Z26"/>
  <c r="AA26" s="1"/>
  <c r="Z28"/>
  <c r="AA28" s="1"/>
  <c r="Z30"/>
  <c r="AA30" s="1"/>
  <c r="Z32"/>
  <c r="AA32" s="1"/>
  <c r="Z34"/>
  <c r="AA34" s="1"/>
  <c r="Z36"/>
  <c r="AA36" s="1"/>
  <c r="Z38"/>
  <c r="AA38" s="1"/>
  <c r="Z40"/>
  <c r="AA40" s="1"/>
  <c r="Z42"/>
  <c r="AA42" s="1"/>
  <c r="Z44"/>
  <c r="AA44" s="1"/>
  <c r="AC17"/>
  <c r="AC19"/>
  <c r="AC21"/>
  <c r="AC23"/>
  <c r="AC25"/>
  <c r="AC27"/>
  <c r="AC29"/>
  <c r="AC31"/>
  <c r="AC33"/>
  <c r="AC35"/>
  <c r="AC37"/>
  <c r="AC39"/>
  <c r="AC41"/>
  <c r="AC43"/>
  <c r="G15"/>
  <c r="G17"/>
  <c r="G19"/>
  <c r="G21"/>
  <c r="G23"/>
  <c r="G27"/>
  <c r="G29"/>
  <c r="G31"/>
  <c r="G33"/>
  <c r="G35"/>
  <c r="G37"/>
  <c r="G39"/>
  <c r="G41"/>
  <c r="G43"/>
  <c r="H45"/>
  <c r="D16"/>
  <c r="E16" s="1"/>
  <c r="D18"/>
  <c r="E18" s="1"/>
  <c r="D20"/>
  <c r="E20" s="1"/>
  <c r="D22"/>
  <c r="E22" s="1"/>
  <c r="D24"/>
  <c r="E24" s="1"/>
  <c r="D26"/>
  <c r="E26" s="1"/>
  <c r="F26" s="1"/>
  <c r="D28"/>
  <c r="E28" s="1"/>
  <c r="D30"/>
  <c r="E30" s="1"/>
  <c r="D32"/>
  <c r="E32" s="1"/>
  <c r="D34"/>
  <c r="E34" s="1"/>
  <c r="D36"/>
  <c r="E36" s="1"/>
  <c r="D38"/>
  <c r="E38" s="1"/>
  <c r="D40"/>
  <c r="E40" s="1"/>
  <c r="D42"/>
  <c r="E42" s="1"/>
  <c r="D44"/>
  <c r="E44" s="1"/>
  <c r="C15"/>
  <c r="F15" s="1"/>
  <c r="B17"/>
  <c r="C17" s="1"/>
  <c r="B19"/>
  <c r="C19" s="1"/>
  <c r="F19" s="1"/>
  <c r="B21"/>
  <c r="C21" s="1"/>
  <c r="B23"/>
  <c r="C23" s="1"/>
  <c r="F23" s="1"/>
  <c r="B25"/>
  <c r="C25" s="1"/>
  <c r="B27"/>
  <c r="C27" s="1"/>
  <c r="F27" s="1"/>
  <c r="B29"/>
  <c r="C29" s="1"/>
  <c r="F29" s="1"/>
  <c r="B31"/>
  <c r="C31" s="1"/>
  <c r="F31" s="1"/>
  <c r="B33"/>
  <c r="C33" s="1"/>
  <c r="B35"/>
  <c r="C35" s="1"/>
  <c r="F35" s="1"/>
  <c r="B37"/>
  <c r="C37" s="1"/>
  <c r="F37" s="1"/>
  <c r="B39"/>
  <c r="C39" s="1"/>
  <c r="F39" s="1"/>
  <c r="B41"/>
  <c r="C41" s="1"/>
  <c r="B43"/>
  <c r="C43" s="1"/>
  <c r="F43" s="1"/>
  <c r="B45"/>
  <c r="C45" s="1"/>
  <c r="F45" s="1"/>
  <c r="D14"/>
  <c r="E14" s="1"/>
  <c r="F14" s="1"/>
  <c r="O16"/>
  <c r="O18"/>
  <c r="O20"/>
  <c r="O22"/>
  <c r="O24"/>
  <c r="O26"/>
  <c r="O28"/>
  <c r="O30"/>
  <c r="O32"/>
  <c r="O34"/>
  <c r="O36"/>
  <c r="O38"/>
  <c r="O40"/>
  <c r="O42"/>
  <c r="O44"/>
  <c r="R15"/>
  <c r="R17"/>
  <c r="S17" s="1"/>
  <c r="R19"/>
  <c r="S19" s="1"/>
  <c r="R21"/>
  <c r="S21" s="1"/>
  <c r="R23"/>
  <c r="S23" s="1"/>
  <c r="R25"/>
  <c r="S25" s="1"/>
  <c r="R27"/>
  <c r="S27" s="1"/>
  <c r="R29"/>
  <c r="S29" s="1"/>
  <c r="R31"/>
  <c r="S31" s="1"/>
  <c r="R33"/>
  <c r="S33" s="1"/>
  <c r="R35"/>
  <c r="S35" s="1"/>
  <c r="R37"/>
  <c r="S37" s="1"/>
  <c r="R39"/>
  <c r="S39" s="1"/>
  <c r="R41"/>
  <c r="S41" s="1"/>
  <c r="R43"/>
  <c r="S43" s="1"/>
  <c r="R45"/>
  <c r="S45" s="1"/>
  <c r="T16"/>
  <c r="U16" s="1"/>
  <c r="T18"/>
  <c r="U18" s="1"/>
  <c r="T20"/>
  <c r="U20" s="1"/>
  <c r="T22"/>
  <c r="U22" s="1"/>
  <c r="T24"/>
  <c r="U24" s="1"/>
  <c r="T26"/>
  <c r="U26" s="1"/>
  <c r="T28"/>
  <c r="U28" s="1"/>
  <c r="T30"/>
  <c r="U30" s="1"/>
  <c r="T32"/>
  <c r="U32" s="1"/>
  <c r="T34"/>
  <c r="U34" s="1"/>
  <c r="T36"/>
  <c r="U36" s="1"/>
  <c r="T38"/>
  <c r="U38" s="1"/>
  <c r="T40"/>
  <c r="U40" s="1"/>
  <c r="T42"/>
  <c r="U42" s="1"/>
  <c r="T44"/>
  <c r="U44" s="1"/>
  <c r="V15"/>
  <c r="V17"/>
  <c r="W17" s="1"/>
  <c r="V19"/>
  <c r="W19" s="1"/>
  <c r="V21"/>
  <c r="W21" s="1"/>
  <c r="V23"/>
  <c r="W23" s="1"/>
  <c r="V25"/>
  <c r="W25" s="1"/>
  <c r="V27"/>
  <c r="W27" s="1"/>
  <c r="V29"/>
  <c r="W29" s="1"/>
  <c r="V31"/>
  <c r="W31" s="1"/>
  <c r="V33"/>
  <c r="W33" s="1"/>
  <c r="V35"/>
  <c r="W35" s="1"/>
  <c r="V37"/>
  <c r="W37" s="1"/>
  <c r="V39"/>
  <c r="W39" s="1"/>
  <c r="V41"/>
  <c r="W41" s="1"/>
  <c r="V43"/>
  <c r="W43" s="1"/>
  <c r="V45"/>
  <c r="W45" s="1"/>
  <c r="X16"/>
  <c r="Y16" s="1"/>
  <c r="X18"/>
  <c r="Y18" s="1"/>
  <c r="X20"/>
  <c r="Y20" s="1"/>
  <c r="X22"/>
  <c r="Y22" s="1"/>
  <c r="X24"/>
  <c r="Y24" s="1"/>
  <c r="X26"/>
  <c r="Y26" s="1"/>
  <c r="X28"/>
  <c r="Y28" s="1"/>
  <c r="X30"/>
  <c r="Y30" s="1"/>
  <c r="X32"/>
  <c r="Y32" s="1"/>
  <c r="X34"/>
  <c r="Y34" s="1"/>
  <c r="X36"/>
  <c r="Y36" s="1"/>
  <c r="X38"/>
  <c r="Y38" s="1"/>
  <c r="X40"/>
  <c r="Y40" s="1"/>
  <c r="X42"/>
  <c r="Y42" s="1"/>
  <c r="X44"/>
  <c r="Y44" s="1"/>
  <c r="Z45"/>
  <c r="AA45" s="1"/>
  <c r="D48"/>
  <c r="F18"/>
  <c r="F20"/>
  <c r="F22"/>
  <c r="F28"/>
  <c r="F24"/>
  <c r="F30"/>
  <c r="F32"/>
  <c r="F34"/>
  <c r="F36"/>
  <c r="F38"/>
  <c r="F40"/>
  <c r="F42"/>
  <c r="F44"/>
  <c r="F17"/>
  <c r="F21"/>
  <c r="F25"/>
  <c r="F33"/>
  <c r="F41"/>
  <c r="H15"/>
  <c r="I4"/>
  <c r="AJ45" s="1"/>
  <c r="AK45" s="1"/>
  <c r="AL45" s="1"/>
  <c r="H16"/>
  <c r="H18"/>
  <c r="H20"/>
  <c r="H22"/>
  <c r="H24"/>
  <c r="H26"/>
  <c r="H28"/>
  <c r="H30"/>
  <c r="H32"/>
  <c r="H34"/>
  <c r="H36"/>
  <c r="H38"/>
  <c r="H40"/>
  <c r="H42"/>
  <c r="H44"/>
  <c r="H17"/>
  <c r="H19"/>
  <c r="H21"/>
  <c r="H23"/>
  <c r="H25"/>
  <c r="H27"/>
  <c r="H29"/>
  <c r="H31"/>
  <c r="H33"/>
  <c r="H35"/>
  <c r="H37"/>
  <c r="H39"/>
  <c r="H41"/>
  <c r="H43"/>
  <c r="O48" l="1"/>
  <c r="AJ44"/>
  <c r="AK44" s="1"/>
  <c r="AL44" s="1"/>
  <c r="E48"/>
  <c r="AJ40"/>
  <c r="AK40" s="1"/>
  <c r="AL40" s="1"/>
  <c r="AJ36"/>
  <c r="AK36" s="1"/>
  <c r="AL36" s="1"/>
  <c r="AJ32"/>
  <c r="AK32" s="1"/>
  <c r="AL32" s="1"/>
  <c r="AJ28"/>
  <c r="AK28" s="1"/>
  <c r="AL28" s="1"/>
  <c r="AJ24"/>
  <c r="AK24" s="1"/>
  <c r="AL24" s="1"/>
  <c r="AJ18"/>
  <c r="AK18" s="1"/>
  <c r="AL18" s="1"/>
  <c r="I29"/>
  <c r="L29" s="1"/>
  <c r="AJ42"/>
  <c r="AK42" s="1"/>
  <c r="AL42" s="1"/>
  <c r="AJ38"/>
  <c r="AK38" s="1"/>
  <c r="AL38" s="1"/>
  <c r="AJ34"/>
  <c r="AK34" s="1"/>
  <c r="AL34" s="1"/>
  <c r="AJ30"/>
  <c r="AK30" s="1"/>
  <c r="AL30" s="1"/>
  <c r="AJ26"/>
  <c r="AK26" s="1"/>
  <c r="AL26" s="1"/>
  <c r="AJ22"/>
  <c r="AK22" s="1"/>
  <c r="AL22" s="1"/>
  <c r="I15"/>
  <c r="L15" s="1"/>
  <c r="AD15" s="1"/>
  <c r="I25"/>
  <c r="L25" s="1"/>
  <c r="AJ20"/>
  <c r="AK20" s="1"/>
  <c r="AL20" s="1"/>
  <c r="AJ16"/>
  <c r="AK16" s="1"/>
  <c r="AL16" s="1"/>
  <c r="I21"/>
  <c r="L21" s="1"/>
  <c r="AF15"/>
  <c r="AE48"/>
  <c r="AJ43"/>
  <c r="AK43" s="1"/>
  <c r="AL43" s="1"/>
  <c r="AJ41"/>
  <c r="AK41" s="1"/>
  <c r="AL41" s="1"/>
  <c r="AJ39"/>
  <c r="AK39" s="1"/>
  <c r="AL39" s="1"/>
  <c r="AJ37"/>
  <c r="AK37" s="1"/>
  <c r="AL37" s="1"/>
  <c r="AJ35"/>
  <c r="AK35" s="1"/>
  <c r="AL35" s="1"/>
  <c r="AJ33"/>
  <c r="AK33" s="1"/>
  <c r="AL33" s="1"/>
  <c r="AJ31"/>
  <c r="AK31" s="1"/>
  <c r="AL31" s="1"/>
  <c r="AJ29"/>
  <c r="AK29" s="1"/>
  <c r="AL29" s="1"/>
  <c r="AJ27"/>
  <c r="AK27" s="1"/>
  <c r="AL27" s="1"/>
  <c r="AJ25"/>
  <c r="AK25" s="1"/>
  <c r="AL25" s="1"/>
  <c r="AJ23"/>
  <c r="AK23" s="1"/>
  <c r="AL23" s="1"/>
  <c r="AJ21"/>
  <c r="AK21" s="1"/>
  <c r="AL21" s="1"/>
  <c r="AJ19"/>
  <c r="AK19" s="1"/>
  <c r="AL19" s="1"/>
  <c r="AJ17"/>
  <c r="AK17" s="1"/>
  <c r="AL17" s="1"/>
  <c r="AJ15"/>
  <c r="AK15" s="1"/>
  <c r="AL15" s="1"/>
  <c r="AI48"/>
  <c r="V48"/>
  <c r="W15"/>
  <c r="Q44"/>
  <c r="P44"/>
  <c r="Q40"/>
  <c r="P40"/>
  <c r="Q36"/>
  <c r="P36"/>
  <c r="Q32"/>
  <c r="P32"/>
  <c r="Q28"/>
  <c r="P28"/>
  <c r="P24"/>
  <c r="Q24"/>
  <c r="P20"/>
  <c r="Q20"/>
  <c r="P16"/>
  <c r="Q16"/>
  <c r="AB48"/>
  <c r="AC15"/>
  <c r="T48"/>
  <c r="U15"/>
  <c r="P45"/>
  <c r="Q45"/>
  <c r="P41"/>
  <c r="Q41"/>
  <c r="P37"/>
  <c r="Q37"/>
  <c r="P33"/>
  <c r="Q33"/>
  <c r="P29"/>
  <c r="Q29"/>
  <c r="Q25"/>
  <c r="P25"/>
  <c r="Q21"/>
  <c r="P21"/>
  <c r="Q17"/>
  <c r="P17"/>
  <c r="I42"/>
  <c r="L42" s="1"/>
  <c r="M42" s="1"/>
  <c r="I38"/>
  <c r="L38" s="1"/>
  <c r="AD38" s="1"/>
  <c r="I34"/>
  <c r="L34" s="1"/>
  <c r="AD34" s="1"/>
  <c r="I30"/>
  <c r="L30" s="1"/>
  <c r="AD30" s="1"/>
  <c r="I26"/>
  <c r="L26" s="1"/>
  <c r="AD26" s="1"/>
  <c r="I22"/>
  <c r="L22" s="1"/>
  <c r="M22" s="1"/>
  <c r="I18"/>
  <c r="L18" s="1"/>
  <c r="AD18" s="1"/>
  <c r="R48"/>
  <c r="S15"/>
  <c r="P42"/>
  <c r="Q42"/>
  <c r="P38"/>
  <c r="Q38"/>
  <c r="P34"/>
  <c r="Q34"/>
  <c r="P30"/>
  <c r="Q30"/>
  <c r="P26"/>
  <c r="Q26"/>
  <c r="Q22"/>
  <c r="P22"/>
  <c r="Q18"/>
  <c r="P18"/>
  <c r="X48"/>
  <c r="Y15"/>
  <c r="Q43"/>
  <c r="P43"/>
  <c r="Q39"/>
  <c r="P39"/>
  <c r="Q35"/>
  <c r="P35"/>
  <c r="Q31"/>
  <c r="P31"/>
  <c r="Q27"/>
  <c r="P27"/>
  <c r="P23"/>
  <c r="Q23"/>
  <c r="P19"/>
  <c r="Q19"/>
  <c r="O46"/>
  <c r="Q15"/>
  <c r="P15"/>
  <c r="B48"/>
  <c r="C16"/>
  <c r="F16" s="1"/>
  <c r="I17" s="1"/>
  <c r="I27"/>
  <c r="L27" s="1"/>
  <c r="M27" s="1"/>
  <c r="I45"/>
  <c r="K45" s="1"/>
  <c r="Z48"/>
  <c r="I23"/>
  <c r="L23" s="1"/>
  <c r="M23" s="1"/>
  <c r="I43"/>
  <c r="L43" s="1"/>
  <c r="M43" s="1"/>
  <c r="I39"/>
  <c r="L39" s="1"/>
  <c r="AD39" s="1"/>
  <c r="I35"/>
  <c r="L35" s="1"/>
  <c r="AD35" s="1"/>
  <c r="I31"/>
  <c r="L31" s="1"/>
  <c r="M31" s="1"/>
  <c r="I41"/>
  <c r="L41" s="1"/>
  <c r="M41" s="1"/>
  <c r="I37"/>
  <c r="L37" s="1"/>
  <c r="AD37" s="1"/>
  <c r="I33"/>
  <c r="L33" s="1"/>
  <c r="M33" s="1"/>
  <c r="I44"/>
  <c r="L44" s="1"/>
  <c r="M44" s="1"/>
  <c r="I40"/>
  <c r="L40" s="1"/>
  <c r="AD40" s="1"/>
  <c r="I36"/>
  <c r="L36" s="1"/>
  <c r="M36" s="1"/>
  <c r="I32"/>
  <c r="L32" s="1"/>
  <c r="AD32" s="1"/>
  <c r="I28"/>
  <c r="L28" s="1"/>
  <c r="AD28" s="1"/>
  <c r="I24"/>
  <c r="L24" s="1"/>
  <c r="AD24" s="1"/>
  <c r="I20"/>
  <c r="L20" s="1"/>
  <c r="AD20" s="1"/>
  <c r="H48"/>
  <c r="AG15"/>
  <c r="AH15" s="1"/>
  <c r="I19"/>
  <c r="L19" s="1"/>
  <c r="AD19" s="1"/>
  <c r="G48"/>
  <c r="K41"/>
  <c r="K29"/>
  <c r="K27"/>
  <c r="K25"/>
  <c r="K23"/>
  <c r="K21"/>
  <c r="AD42"/>
  <c r="M38"/>
  <c r="M34"/>
  <c r="M30"/>
  <c r="M26"/>
  <c r="AD22"/>
  <c r="AK48"/>
  <c r="AM48" s="1"/>
  <c r="I16"/>
  <c r="L16" s="1"/>
  <c r="F48"/>
  <c r="K38"/>
  <c r="K34"/>
  <c r="K30"/>
  <c r="K22"/>
  <c r="K18"/>
  <c r="AD43"/>
  <c r="AD29"/>
  <c r="M29"/>
  <c r="AD25"/>
  <c r="M25"/>
  <c r="AD21"/>
  <c r="M21"/>
  <c r="P48" l="1"/>
  <c r="AD27"/>
  <c r="M35"/>
  <c r="AD41"/>
  <c r="M19"/>
  <c r="AD33"/>
  <c r="K24"/>
  <c r="K32"/>
  <c r="M32"/>
  <c r="K40"/>
  <c r="K35"/>
  <c r="K15"/>
  <c r="M15"/>
  <c r="L45"/>
  <c r="C48"/>
  <c r="AN48"/>
  <c r="AD23"/>
  <c r="M18"/>
  <c r="M28"/>
  <c r="AD36"/>
  <c r="K26"/>
  <c r="K42"/>
  <c r="L17"/>
  <c r="K17"/>
  <c r="P46"/>
  <c r="M39"/>
  <c r="K39"/>
  <c r="AG16"/>
  <c r="AG17" s="1"/>
  <c r="K33"/>
  <c r="K43"/>
  <c r="AD31"/>
  <c r="M37"/>
  <c r="K20"/>
  <c r="K28"/>
  <c r="K36"/>
  <c r="K44"/>
  <c r="M20"/>
  <c r="AD44"/>
  <c r="K31"/>
  <c r="K37"/>
  <c r="M24"/>
  <c r="M40"/>
  <c r="K16"/>
  <c r="K19"/>
  <c r="I48"/>
  <c r="AD16"/>
  <c r="M16"/>
  <c r="L48" l="1"/>
  <c r="AD45"/>
  <c r="M45"/>
  <c r="AH16"/>
  <c r="M17"/>
  <c r="AD17"/>
  <c r="K48"/>
  <c r="AH17"/>
  <c r="AG18"/>
  <c r="AH18" l="1"/>
  <c r="AG19"/>
  <c r="AH19" l="1"/>
  <c r="AG20"/>
  <c r="AH20" l="1"/>
  <c r="AG21"/>
  <c r="AH21" l="1"/>
  <c r="AG22"/>
  <c r="AH22" l="1"/>
  <c r="AG23"/>
  <c r="AH23" l="1"/>
  <c r="AG24"/>
  <c r="AH24" l="1"/>
  <c r="AG25"/>
  <c r="AH25" l="1"/>
  <c r="AG26"/>
  <c r="AH26" l="1"/>
  <c r="AG27"/>
  <c r="AH27" l="1"/>
  <c r="AG28"/>
  <c r="AH28" l="1"/>
  <c r="AG29"/>
  <c r="AH29" l="1"/>
  <c r="AG30"/>
  <c r="AH30" l="1"/>
  <c r="AG31"/>
  <c r="AH31" l="1"/>
  <c r="AG32"/>
  <c r="AH32" l="1"/>
  <c r="AG33"/>
  <c r="AH33" l="1"/>
  <c r="AG34"/>
  <c r="AH34" l="1"/>
  <c r="AG35"/>
  <c r="AH35" l="1"/>
  <c r="AG36"/>
  <c r="AH36" l="1"/>
  <c r="AG37"/>
  <c r="AH37" l="1"/>
  <c r="AG38"/>
  <c r="AH38" l="1"/>
  <c r="AG39"/>
  <c r="AH39" l="1"/>
  <c r="AG40"/>
  <c r="AH40" l="1"/>
  <c r="AG41"/>
  <c r="AH41" l="1"/>
  <c r="AG42"/>
  <c r="AH42" l="1"/>
  <c r="AG43"/>
  <c r="AH43" l="1"/>
  <c r="AG44"/>
  <c r="AH44" l="1"/>
  <c r="AG45"/>
  <c r="AH45" s="1"/>
</calcChain>
</file>

<file path=xl/connections.xml><?xml version="1.0" encoding="utf-8"?>
<connections xmlns="http://schemas.openxmlformats.org/spreadsheetml/2006/main">
  <connection id="1" name="Connection" type="4" refreshedVersion="0" background="1">
    <webPr sourceData="1" parsePre="1" consecutive="1" url="http://brannondevelopments.net/broomfield/ws4bf_demo/get_call_admin_no"/>
  </connection>
  <connection id="2" name="Connection1" type="4" refreshedVersion="0" background="1" saveData="1">
    <webPr sourceData="1" parsePre="1" consecutive="1" url="http://www.lre-projects.net/broomfield/ws4bf_demo/get_ReuseAcctWorkbookInputParams"/>
  </connection>
  <connection id="3" name="tempxml" type="4" refreshedVersion="0" deleted="1" background="1">
    <webPr xml="1" sourceData="1" parsePre="1" consecutive="1" url="C:\Users\jim\Downloads\tempxml.xml" htmlTables="1"/>
  </connection>
  <connection id="4" name="tempxml1" type="4" refreshedVersion="0" deleted="1" background="1">
    <webPr xml="1" sourceData="1" parsePre="1" consecutive="1" url="C:\Users\jim\Downloads\tempxml.xml" htmlTables="1"/>
  </connection>
</connections>
</file>

<file path=xl/sharedStrings.xml><?xml version="1.0" encoding="utf-8"?>
<sst xmlns="http://schemas.openxmlformats.org/spreadsheetml/2006/main" count="725" uniqueCount="185">
  <si>
    <t>total_measured_effluent_production</t>
  </si>
  <si>
    <t>denver_potable_water_deliveries</t>
  </si>
  <si>
    <t>northern_potable_water_deliveries</t>
  </si>
  <si>
    <t>total_reuse_water_pumped</t>
  </si>
  <si>
    <t>windy_gap_effluent</t>
  </si>
  <si>
    <t>consolidated_mutual</t>
  </si>
  <si>
    <t>other_sources</t>
  </si>
  <si>
    <t>other_augmentation_sources</t>
  </si>
  <si>
    <t>aug_releases_windy_gap_eff_to_bdc</t>
  </si>
  <si>
    <t>estimated_raw_wg_deliveries</t>
  </si>
  <si>
    <t>ns3:DataSetIndex</t>
  </si>
  <si>
    <t>ns3:DataSetName</t>
  </si>
  <si>
    <t>ns3:InputDate</t>
  </si>
  <si>
    <t>ns3:InputValue</t>
  </si>
  <si>
    <t>Conv Factor</t>
  </si>
  <si>
    <t>mgd to acre-feet</t>
  </si>
  <si>
    <t>Effluent Factor</t>
  </si>
  <si>
    <t>effluent as % of deliveries</t>
  </si>
  <si>
    <t>WWTP Irr</t>
  </si>
  <si>
    <t>Gal</t>
  </si>
  <si>
    <t>Monthly reading of reuse water to irrigate WWTP grounds</t>
  </si>
  <si>
    <t>(when Accounting Switch = 0, otherwise 91% factor is used)</t>
  </si>
  <si>
    <t>Potable Water Deliveries</t>
  </si>
  <si>
    <t>Effluent Production</t>
  </si>
  <si>
    <t>Target Effluent Pumping Rate</t>
  </si>
  <si>
    <t>S. Platte R. call below Big Dry Cr</t>
  </si>
  <si>
    <t>Reuse Pumping</t>
  </si>
  <si>
    <t>Big Dry Creek River Balance</t>
  </si>
  <si>
    <t>Windy Gap Order from Northern to cover eff use</t>
  </si>
  <si>
    <t>Based on previous day delivery</t>
  </si>
  <si>
    <t>Direct Flow Rights</t>
  </si>
  <si>
    <t>Windy Gap Effluent</t>
  </si>
  <si>
    <t>Exchange Sources</t>
  </si>
  <si>
    <t>Other Augmentation Requirements</t>
  </si>
  <si>
    <t>Aug. Releases Windy Gap Eff to BDC</t>
  </si>
  <si>
    <t>River Credit/Debt to BDC</t>
  </si>
  <si>
    <t>Denver</t>
  </si>
  <si>
    <t>Northern</t>
  </si>
  <si>
    <t>Total Measured Effluent</t>
  </si>
  <si>
    <t>Estimated</t>
  </si>
  <si>
    <t>Accounting</t>
  </si>
  <si>
    <t>Total Reuse Water Pumped</t>
  </si>
  <si>
    <t>'98 10 cfs</t>
  </si>
  <si>
    <t>'77 5 cfs</t>
  </si>
  <si>
    <t>Consolidated</t>
  </si>
  <si>
    <t>Other</t>
  </si>
  <si>
    <t>EstimatedRaw WG Deliveries</t>
  </si>
  <si>
    <t>Desired  Reuse WG Order</t>
  </si>
  <si>
    <t>Reuse WG Order Limited by Pipeline Cap or Production</t>
  </si>
  <si>
    <t>Date</t>
  </si>
  <si>
    <t>Total</t>
  </si>
  <si>
    <t>Inflow/Infil</t>
  </si>
  <si>
    <t>Switch</t>
  </si>
  <si>
    <t>Mutual</t>
  </si>
  <si>
    <t>Sources</t>
  </si>
  <si>
    <t>Comments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</si>
  <si>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</si>
  <si>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</si>
  <si>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</si>
  <si>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</si>
  <si>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</si>
  <si>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</si>
  <si>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</si>
  <si>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</si>
  <si>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</si>
  <si>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ii</t>
  </si>
  <si>
    <t>j</t>
  </si>
  <si>
    <t>k</t>
  </si>
  <si>
    <t>kk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</si>
  <si>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</si>
  <si>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</si>
  <si>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</si>
  <si>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</si>
  <si>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</si>
  <si>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</si>
  <si>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</si>
  <si>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</si>
  <si>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</si>
  <si>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</si>
  <si>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</si>
  <si>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 xml:space="preserve">  w1         w2        w3         w4</t>
  </si>
  <si>
    <t>x</t>
  </si>
  <si>
    <t>Input</t>
  </si>
  <si>
    <t>calc</t>
  </si>
  <si>
    <t>b / .325851</t>
  </si>
  <si>
    <t xml:space="preserve">d /.325851 </t>
  </si>
  <si>
    <t>c + e</t>
  </si>
  <si>
    <t>g /.325851</t>
  </si>
  <si>
    <t>h-(Eff Factor x Prev f)</t>
  </si>
  <si>
    <t xml:space="preserve">               0=Prorated 1=Dedicated</t>
  </si>
  <si>
    <t>prev b / prev f x (h-i)</t>
  </si>
  <si>
    <t xml:space="preserve"> prev e / prev f  x (h-i)</t>
  </si>
  <si>
    <t>k x 325851/ 24/60</t>
  </si>
  <si>
    <t>Admin No.</t>
  </si>
  <si>
    <t>m / .325851</t>
  </si>
  <si>
    <t>m x 1.55</t>
  </si>
  <si>
    <t>Admin. No. 54336.0000</t>
  </si>
  <si>
    <t>Admin. No. 46734.0000</t>
  </si>
  <si>
    <t>User Select</t>
  </si>
  <si>
    <t>Amt Available</t>
  </si>
  <si>
    <t>Sum(o-s,u) - n - t</t>
  </si>
  <si>
    <t>Siena, NWpkwy,etc.</t>
  </si>
  <si>
    <t>(q + u)/ Eff Factor</t>
  </si>
  <si>
    <t>Min (34.7 af - w1, w2, e)</t>
  </si>
  <si>
    <t>w3 / 1.9835</t>
  </si>
  <si>
    <t>Last Day Prev Month</t>
  </si>
  <si>
    <t>mgd</t>
  </si>
  <si>
    <t>af</t>
  </si>
  <si>
    <t>gpm</t>
  </si>
  <si>
    <t>date</t>
  </si>
  <si>
    <t>cfs</t>
  </si>
  <si>
    <t>-</t>
  </si>
  <si>
    <t>SubTotal</t>
  </si>
  <si>
    <t>Order Including WWTP Irrigation AF</t>
  </si>
  <si>
    <t>Check</t>
  </si>
  <si>
    <t>Totals</t>
  </si>
  <si>
    <t>NOTES:</t>
  </si>
  <si>
    <t>Cells highlighted in dark blue require monthly inputs.</t>
  </si>
  <si>
    <t>Column ii</t>
  </si>
  <si>
    <t>Switch to calculate type of effluent (Northern vs Denver),</t>
  </si>
  <si>
    <t>WWTP irrigation # (P47) needs to be divided by the monthly return factor (I4) then</t>
  </si>
  <si>
    <t>Column V</t>
  </si>
  <si>
    <t>Credits: Water Commissioner prefers to balance out credits by end-of-month</t>
  </si>
  <si>
    <t>Cells highlighted in light blue require daily inputs.</t>
  </si>
  <si>
    <t>Set to 0 when Denver Water is calling for its reuse effluent,</t>
  </si>
  <si>
    <t>added into the Windy Gap required flow (AK48).  This is done in AM48 and checked</t>
  </si>
  <si>
    <t>Debts: Water Commissioner prefers to keep debts less than 10 cfs</t>
  </si>
  <si>
    <t>effluent is then prorated based on deliveries.</t>
  </si>
  <si>
    <t>in AN48.</t>
  </si>
  <si>
    <r>
      <t xml:space="preserve">Set to 1 when Denver Water is </t>
    </r>
    <r>
      <rPr>
        <b/>
        <sz val="10"/>
        <rFont val="Arial"/>
        <family val="2"/>
      </rPr>
      <t>not</t>
    </r>
    <r>
      <rPr>
        <sz val="10"/>
        <rFont val="Arial"/>
        <family val="2"/>
      </rPr>
      <t xml:space="preserve"> calling for its reuse</t>
    </r>
  </si>
  <si>
    <t>effluent, then Broomfield can dedicate Northern water to</t>
  </si>
  <si>
    <t>in-house uses and maximize its reuse effluent for pumping.</t>
  </si>
  <si>
    <t>System Efficiency Factors</t>
  </si>
  <si>
    <t>Heit Pit Returns</t>
  </si>
  <si>
    <t>(Wayne@pioneersand.com)</t>
  </si>
  <si>
    <t>% of water delivered returning to WWTP (from windwdcm6dryupdate2002.wb3 spreadsheet)</t>
  </si>
  <si>
    <t>Month</t>
  </si>
  <si>
    <t>Month ID</t>
  </si>
  <si>
    <t>Factor</t>
  </si>
  <si>
    <t>Jan</t>
  </si>
  <si>
    <t xml:space="preserve">Feb </t>
  </si>
  <si>
    <t>Feb</t>
  </si>
  <si>
    <t>Mar</t>
  </si>
  <si>
    <t>Apr</t>
  </si>
  <si>
    <t>May</t>
  </si>
  <si>
    <t>June</t>
  </si>
  <si>
    <t>Jun</t>
  </si>
  <si>
    <t>July</t>
  </si>
  <si>
    <t>Jul</t>
  </si>
  <si>
    <t>Aug</t>
  </si>
  <si>
    <t>Sept</t>
  </si>
  <si>
    <t>Sep</t>
  </si>
  <si>
    <t>Oct</t>
  </si>
  <si>
    <t>Nov</t>
  </si>
  <si>
    <t>Dec</t>
  </si>
  <si>
    <t>Sept 1, 08 - Aug 31, 09 = 54.63af</t>
  </si>
  <si>
    <t>Sept 1, 09 - Aug 31, 10 = 42.48af</t>
  </si>
  <si>
    <t xml:space="preserve">Sept 1, 10 - Aug 31, 11 = 35.40af </t>
  </si>
  <si>
    <t>Aug Requirements</t>
  </si>
  <si>
    <t xml:space="preserve">DOE </t>
  </si>
  <si>
    <t>Mon/YR</t>
  </si>
  <si>
    <t>Total Depl</t>
  </si>
  <si>
    <t>DOE</t>
  </si>
  <si>
    <t>Aug Req</t>
  </si>
  <si>
    <t>Decree</t>
  </si>
  <si>
    <t>to GWR</t>
  </si>
  <si>
    <t>to BDC</t>
  </si>
  <si>
    <t>(Total Depl = -.26, Aug GWR = -.26)</t>
  </si>
  <si>
    <t>(Total Depl = -.48, Aug = -.95)</t>
  </si>
  <si>
    <t>(Total Depl = -.09, Aug DOE = -.04, Aug BDC = -.30)</t>
  </si>
  <si>
    <t>Negitive #'s reported as 0</t>
  </si>
  <si>
    <t>Koenig Pit release for CCWCD</t>
  </si>
  <si>
    <t>Made up Jun - Oct in one release Oct 09 of 1.50 af)</t>
  </si>
  <si>
    <t>Broomfield Reuse Pumping Plant Accounting</t>
  </si>
  <si>
    <t>Row Labels</t>
  </si>
  <si>
    <t>Column Labels</t>
  </si>
  <si>
    <t>Sum of ns3:InputValue</t>
  </si>
  <si>
    <t>DataSetIndex</t>
  </si>
  <si>
    <t>DataSetName</t>
  </si>
  <si>
    <t>Column</t>
  </si>
  <si>
    <t>ns3:CallAdminNo</t>
  </si>
  <si>
    <t>daily_call_spr_bel_bigdrycr</t>
  </si>
  <si>
    <t>Lookup Column</t>
  </si>
  <si>
    <t>direct_flow_right_1998</t>
  </si>
  <si>
    <t>direct_flow_right_1977</t>
  </si>
</sst>
</file>

<file path=xl/styles.xml><?xml version="1.0" encoding="utf-8"?>
<styleSheet xmlns="http://schemas.openxmlformats.org/spreadsheetml/2006/main">
  <numFmts count="6">
    <numFmt numFmtId="43" formatCode="_(* #,##0.00_);_(* \(#,##0.00\);_(* &quot;-&quot;??_);_(@_)"/>
    <numFmt numFmtId="164" formatCode="0.000"/>
    <numFmt numFmtId="165" formatCode="0.0"/>
    <numFmt numFmtId="166" formatCode="[$-409]mmm\-yy;@"/>
    <numFmt numFmtId="167" formatCode="_(* ###0.00_);_(* \(###0.00\);_(* &quot;-&quot;??_);_(@_)"/>
    <numFmt numFmtId="168" formatCode="_(* ###0.0000_);_(* \(###0.0000\);_(* &quot;-&quot;??_);_(@_)"/>
  </numFmts>
  <fonts count="22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3"/>
      <name val="Arial"/>
      <family val="2"/>
    </font>
    <font>
      <b/>
      <sz val="9"/>
      <name val="Arial"/>
      <family val="2"/>
    </font>
    <font>
      <b/>
      <sz val="6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6"/>
      <name val="Arial"/>
      <family val="2"/>
    </font>
    <font>
      <i/>
      <sz val="10"/>
      <color indexed="10"/>
      <name val="Arial"/>
      <family val="2"/>
    </font>
    <font>
      <b/>
      <sz val="8"/>
      <color indexed="13"/>
      <name val="Arial"/>
      <family val="2"/>
    </font>
    <font>
      <b/>
      <sz val="10"/>
      <color indexed="61"/>
      <name val="Arial"/>
      <family val="2"/>
    </font>
    <font>
      <b/>
      <sz val="10"/>
      <color indexed="12"/>
      <name val="Arial"/>
      <family val="2"/>
    </font>
    <font>
      <b/>
      <sz val="14"/>
      <name val="Arial"/>
      <family val="2"/>
    </font>
    <font>
      <u/>
      <sz val="10"/>
      <name val="Arial"/>
      <family val="2"/>
    </font>
    <font>
      <sz val="11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2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5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3" fillId="0" borderId="0" applyFont="0" applyFill="0" applyBorder="0" applyAlignment="0" applyProtection="0"/>
    <xf numFmtId="43" fontId="18" fillId="0" borderId="0" applyFont="0" applyFill="0" applyBorder="0" applyAlignment="0" applyProtection="0"/>
  </cellStyleXfs>
  <cellXfs count="197">
    <xf numFmtId="0" fontId="0" fillId="0" borderId="0" xfId="0"/>
    <xf numFmtId="0" fontId="0" fillId="0" borderId="0" xfId="0" quotePrefix="1"/>
    <xf numFmtId="49" fontId="0" fillId="0" borderId="0" xfId="0" applyNumberFormat="1"/>
    <xf numFmtId="49" fontId="0" fillId="0" borderId="0" xfId="0" applyNumberFormat="1" applyAlignment="1">
      <alignment wrapText="1"/>
    </xf>
    <xf numFmtId="49" fontId="2" fillId="0" borderId="0" xfId="2" applyNumberFormat="1" applyAlignment="1" applyProtection="1"/>
    <xf numFmtId="15" fontId="1" fillId="2" borderId="1" xfId="1" applyNumberFormat="1"/>
    <xf numFmtId="14" fontId="0" fillId="0" borderId="0" xfId="0" applyNumberFormat="1"/>
    <xf numFmtId="0" fontId="3" fillId="0" borderId="0" xfId="3"/>
    <xf numFmtId="0" fontId="4" fillId="0" borderId="0" xfId="3" applyFont="1"/>
    <xf numFmtId="0" fontId="3" fillId="0" borderId="0" xfId="3" applyFill="1"/>
    <xf numFmtId="9" fontId="3" fillId="0" borderId="0" xfId="4"/>
    <xf numFmtId="0" fontId="3" fillId="0" borderId="0" xfId="3" applyFont="1"/>
    <xf numFmtId="0" fontId="3" fillId="0" borderId="2" xfId="3" applyBorder="1"/>
    <xf numFmtId="0" fontId="3" fillId="0" borderId="13" xfId="3" applyBorder="1"/>
    <xf numFmtId="0" fontId="3" fillId="0" borderId="14" xfId="3" applyBorder="1"/>
    <xf numFmtId="0" fontId="4" fillId="0" borderId="15" xfId="3" applyFont="1" applyBorder="1" applyAlignment="1">
      <alignment horizontal="center"/>
    </xf>
    <xf numFmtId="0" fontId="4" fillId="0" borderId="16" xfId="3" applyFont="1" applyBorder="1" applyAlignment="1">
      <alignment horizontal="center"/>
    </xf>
    <xf numFmtId="0" fontId="4" fillId="0" borderId="17" xfId="3" applyFont="1" applyBorder="1" applyAlignment="1">
      <alignment horizontal="center"/>
    </xf>
    <xf numFmtId="0" fontId="3" fillId="0" borderId="18" xfId="3" applyBorder="1"/>
    <xf numFmtId="0" fontId="3" fillId="0" borderId="0" xfId="3" applyBorder="1"/>
    <xf numFmtId="0" fontId="4" fillId="0" borderId="28" xfId="3" applyFont="1" applyBorder="1"/>
    <xf numFmtId="0" fontId="4" fillId="0" borderId="29" xfId="3" applyFont="1" applyBorder="1" applyAlignment="1">
      <alignment horizontal="center"/>
    </xf>
    <xf numFmtId="0" fontId="4" fillId="0" borderId="30" xfId="3" applyFont="1" applyBorder="1" applyAlignment="1">
      <alignment horizontal="center"/>
    </xf>
    <xf numFmtId="0" fontId="8" fillId="0" borderId="30" xfId="3" applyFont="1" applyBorder="1" applyAlignment="1">
      <alignment horizontal="center"/>
    </xf>
    <xf numFmtId="0" fontId="4" fillId="0" borderId="28" xfId="3" applyFont="1" applyBorder="1" applyAlignment="1">
      <alignment horizontal="center"/>
    </xf>
    <xf numFmtId="0" fontId="4" fillId="0" borderId="32" xfId="3" applyFont="1" applyBorder="1" applyAlignment="1">
      <alignment horizontal="center"/>
    </xf>
    <xf numFmtId="0" fontId="4" fillId="0" borderId="36" xfId="3" applyFont="1" applyBorder="1" applyAlignment="1">
      <alignment horizontal="center"/>
    </xf>
    <xf numFmtId="0" fontId="8" fillId="0" borderId="37" xfId="3" applyFont="1" applyBorder="1" applyAlignment="1">
      <alignment horizontal="center"/>
    </xf>
    <xf numFmtId="0" fontId="4" fillId="0" borderId="37" xfId="3" applyFont="1" applyBorder="1" applyAlignment="1">
      <alignment horizontal="center"/>
    </xf>
    <xf numFmtId="0" fontId="10" fillId="0" borderId="32" xfId="3" applyFont="1" applyBorder="1" applyAlignment="1">
      <alignment horizontal="center"/>
    </xf>
    <xf numFmtId="0" fontId="10" fillId="0" borderId="39" xfId="3" applyFont="1" applyBorder="1" applyAlignment="1">
      <alignment horizontal="center"/>
    </xf>
    <xf numFmtId="0" fontId="10" fillId="0" borderId="37" xfId="3" applyFont="1" applyBorder="1" applyAlignment="1">
      <alignment horizontal="center"/>
    </xf>
    <xf numFmtId="0" fontId="10" fillId="0" borderId="36" xfId="3" applyFont="1" applyBorder="1" applyAlignment="1">
      <alignment horizontal="center"/>
    </xf>
    <xf numFmtId="0" fontId="10" fillId="0" borderId="40" xfId="3" applyFont="1" applyBorder="1" applyAlignment="1">
      <alignment horizontal="center"/>
    </xf>
    <xf numFmtId="0" fontId="10" fillId="0" borderId="23" xfId="3" applyFont="1" applyBorder="1" applyAlignment="1">
      <alignment horizontal="center"/>
    </xf>
    <xf numFmtId="0" fontId="3" fillId="0" borderId="32" xfId="3" applyBorder="1" applyAlignment="1">
      <alignment horizontal="center"/>
    </xf>
    <xf numFmtId="0" fontId="3" fillId="0" borderId="37" xfId="3" applyFont="1" applyBorder="1" applyAlignment="1">
      <alignment horizontal="center"/>
    </xf>
    <xf numFmtId="0" fontId="3" fillId="0" borderId="36" xfId="3" applyFont="1" applyBorder="1" applyAlignment="1">
      <alignment horizontal="center"/>
    </xf>
    <xf numFmtId="0" fontId="3" fillId="0" borderId="40" xfId="3" applyFont="1" applyBorder="1" applyAlignment="1">
      <alignment horizontal="center"/>
    </xf>
    <xf numFmtId="0" fontId="3" fillId="0" borderId="37" xfId="3" applyFont="1" applyFill="1" applyBorder="1" applyAlignment="1">
      <alignment horizontal="center"/>
    </xf>
    <xf numFmtId="0" fontId="9" fillId="0" borderId="32" xfId="3" applyFont="1" applyBorder="1" applyAlignment="1">
      <alignment horizontal="center" wrapText="1"/>
    </xf>
    <xf numFmtId="0" fontId="9" fillId="0" borderId="39" xfId="3" applyFont="1" applyBorder="1" applyAlignment="1">
      <alignment horizontal="center" wrapText="1"/>
    </xf>
    <xf numFmtId="0" fontId="9" fillId="0" borderId="37" xfId="3" applyFont="1" applyBorder="1" applyAlignment="1">
      <alignment horizontal="center" wrapText="1"/>
    </xf>
    <xf numFmtId="0" fontId="9" fillId="0" borderId="36" xfId="3" applyFont="1" applyBorder="1" applyAlignment="1">
      <alignment horizontal="center" wrapText="1"/>
    </xf>
    <xf numFmtId="0" fontId="9" fillId="0" borderId="40" xfId="3" applyFont="1" applyBorder="1" applyAlignment="1">
      <alignment horizontal="center" wrapText="1"/>
    </xf>
    <xf numFmtId="0" fontId="9" fillId="0" borderId="35" xfId="3" applyFont="1" applyBorder="1" applyAlignment="1">
      <alignment horizontal="center" wrapText="1"/>
    </xf>
    <xf numFmtId="0" fontId="9" fillId="0" borderId="0" xfId="3" applyFont="1" applyAlignment="1">
      <alignment wrapText="1"/>
    </xf>
    <xf numFmtId="0" fontId="9" fillId="0" borderId="35" xfId="3" applyFont="1" applyBorder="1" applyAlignment="1">
      <alignment horizontal="left" wrapText="1"/>
    </xf>
    <xf numFmtId="0" fontId="3" fillId="0" borderId="39" xfId="3" applyFont="1" applyBorder="1" applyAlignment="1">
      <alignment horizontal="center"/>
    </xf>
    <xf numFmtId="0" fontId="12" fillId="0" borderId="37" xfId="3" applyFont="1" applyBorder="1" applyAlignment="1">
      <alignment horizontal="center"/>
    </xf>
    <xf numFmtId="0" fontId="3" fillId="0" borderId="35" xfId="3" applyFont="1" applyBorder="1" applyAlignment="1">
      <alignment horizontal="center"/>
    </xf>
    <xf numFmtId="2" fontId="3" fillId="0" borderId="37" xfId="3" applyNumberFormat="1" applyFont="1" applyFill="1" applyBorder="1" applyAlignment="1"/>
    <xf numFmtId="2" fontId="3" fillId="0" borderId="44" xfId="3" applyNumberFormat="1" applyBorder="1" applyAlignment="1"/>
    <xf numFmtId="2" fontId="3" fillId="0" borderId="39" xfId="3" applyNumberFormat="1" applyFont="1" applyBorder="1" applyAlignment="1">
      <alignment horizontal="center"/>
    </xf>
    <xf numFmtId="2" fontId="3" fillId="0" borderId="37" xfId="3" applyNumberFormat="1" applyFont="1" applyBorder="1" applyAlignment="1">
      <alignment horizontal="center"/>
    </xf>
    <xf numFmtId="2" fontId="3" fillId="0" borderId="36" xfId="3" applyNumberFormat="1" applyFont="1" applyBorder="1" applyAlignment="1">
      <alignment horizontal="center"/>
    </xf>
    <xf numFmtId="2" fontId="3" fillId="0" borderId="40" xfId="3" applyNumberFormat="1" applyFont="1" applyBorder="1" applyAlignment="1">
      <alignment horizontal="center"/>
    </xf>
    <xf numFmtId="2" fontId="3" fillId="0" borderId="35" xfId="3" applyNumberFormat="1" applyFont="1" applyBorder="1" applyAlignment="1">
      <alignment horizontal="center"/>
    </xf>
    <xf numFmtId="2" fontId="9" fillId="0" borderId="35" xfId="3" applyNumberFormat="1" applyFont="1" applyBorder="1" applyAlignment="1">
      <alignment horizontal="center" wrapText="1"/>
    </xf>
    <xf numFmtId="2" fontId="3" fillId="0" borderId="45" xfId="3" applyNumberFormat="1" applyFont="1" applyBorder="1" applyAlignment="1">
      <alignment horizontal="center"/>
    </xf>
    <xf numFmtId="15" fontId="13" fillId="3" borderId="46" xfId="3" applyNumberFormat="1" applyFont="1" applyFill="1" applyBorder="1"/>
    <xf numFmtId="2" fontId="3" fillId="0" borderId="31" xfId="3" applyNumberFormat="1" applyBorder="1" applyAlignment="1">
      <alignment horizontal="right"/>
    </xf>
    <xf numFmtId="2" fontId="3" fillId="0" borderId="44" xfId="3" applyNumberFormat="1" applyBorder="1" applyAlignment="1">
      <alignment horizontal="right"/>
    </xf>
    <xf numFmtId="1" fontId="14" fillId="0" borderId="23" xfId="3" applyNumberFormat="1" applyFont="1" applyBorder="1" applyAlignment="1">
      <alignment horizontal="right"/>
    </xf>
    <xf numFmtId="165" fontId="3" fillId="0" borderId="44" xfId="3" applyNumberFormat="1" applyBorder="1"/>
    <xf numFmtId="15" fontId="9" fillId="0" borderId="46" xfId="3" applyNumberFormat="1" applyFont="1" applyBorder="1"/>
    <xf numFmtId="2" fontId="3" fillId="0" borderId="47" xfId="3" applyNumberFormat="1" applyBorder="1" applyAlignment="1">
      <alignment horizontal="right"/>
    </xf>
    <xf numFmtId="2" fontId="15" fillId="0" borderId="47" xfId="3" applyNumberFormat="1" applyFont="1" applyBorder="1" applyAlignment="1">
      <alignment horizontal="right"/>
    </xf>
    <xf numFmtId="2" fontId="3" fillId="0" borderId="18" xfId="3" applyNumberFormat="1" applyBorder="1" applyAlignment="1"/>
    <xf numFmtId="2" fontId="3" fillId="0" borderId="0" xfId="3" applyNumberFormat="1" applyBorder="1" applyAlignment="1"/>
    <xf numFmtId="2" fontId="3" fillId="0" borderId="21" xfId="3" applyNumberFormat="1" applyBorder="1" applyAlignment="1"/>
    <xf numFmtId="2" fontId="3" fillId="0" borderId="18" xfId="3" applyNumberFormat="1" applyBorder="1" applyAlignment="1">
      <alignment horizontal="right"/>
    </xf>
    <xf numFmtId="2" fontId="3" fillId="0" borderId="0" xfId="3" applyNumberFormat="1" applyBorder="1" applyAlignment="1">
      <alignment horizontal="right"/>
    </xf>
    <xf numFmtId="2" fontId="3" fillId="0" borderId="21" xfId="3" applyNumberFormat="1" applyBorder="1" applyAlignment="1">
      <alignment horizontal="right"/>
    </xf>
    <xf numFmtId="2" fontId="15" fillId="0" borderId="0" xfId="3" applyNumberFormat="1" applyFont="1" applyBorder="1" applyAlignment="1">
      <alignment horizontal="right"/>
    </xf>
    <xf numFmtId="2" fontId="3" fillId="0" borderId="26" xfId="3" applyNumberFormat="1" applyBorder="1" applyAlignment="1">
      <alignment horizontal="right"/>
    </xf>
    <xf numFmtId="2" fontId="3" fillId="0" borderId="0" xfId="3" applyNumberFormat="1" applyFont="1" applyBorder="1" applyAlignment="1">
      <alignment horizontal="right"/>
    </xf>
    <xf numFmtId="0" fontId="3" fillId="0" borderId="29" xfId="3" applyBorder="1" applyAlignment="1">
      <alignment horizontal="center"/>
    </xf>
    <xf numFmtId="0" fontId="3" fillId="0" borderId="0" xfId="3" applyAlignment="1">
      <alignment horizontal="center"/>
    </xf>
    <xf numFmtId="0" fontId="3" fillId="0" borderId="48" xfId="3" applyBorder="1"/>
    <xf numFmtId="2" fontId="3" fillId="0" borderId="49" xfId="3" applyNumberFormat="1" applyBorder="1" applyAlignment="1"/>
    <xf numFmtId="2" fontId="3" fillId="0" borderId="47" xfId="3" applyNumberFormat="1" applyBorder="1" applyAlignment="1"/>
    <xf numFmtId="2" fontId="3" fillId="0" borderId="50" xfId="3" applyNumberFormat="1" applyBorder="1" applyAlignment="1"/>
    <xf numFmtId="2" fontId="3" fillId="0" borderId="49" xfId="3" applyNumberFormat="1" applyBorder="1" applyAlignment="1">
      <alignment horizontal="right"/>
    </xf>
    <xf numFmtId="2" fontId="3" fillId="0" borderId="50" xfId="3" applyNumberFormat="1" applyBorder="1" applyAlignment="1">
      <alignment horizontal="right"/>
    </xf>
    <xf numFmtId="2" fontId="3" fillId="0" borderId="51" xfId="3" applyNumberFormat="1" applyBorder="1" applyAlignment="1">
      <alignment horizontal="right"/>
    </xf>
    <xf numFmtId="2" fontId="3" fillId="0" borderId="52" xfId="3" applyNumberFormat="1" applyBorder="1" applyAlignment="1">
      <alignment horizontal="right"/>
    </xf>
    <xf numFmtId="2" fontId="3" fillId="0" borderId="47" xfId="3" applyNumberFormat="1" applyFont="1" applyBorder="1" applyAlignment="1">
      <alignment horizontal="right"/>
    </xf>
    <xf numFmtId="0" fontId="3" fillId="0" borderId="53" xfId="3" applyBorder="1"/>
    <xf numFmtId="0" fontId="3" fillId="0" borderId="0" xfId="3" applyFont="1" applyBorder="1" applyAlignment="1">
      <alignment horizontal="left"/>
    </xf>
    <xf numFmtId="165" fontId="3" fillId="7" borderId="31" xfId="3" applyNumberFormat="1" applyFill="1" applyBorder="1"/>
    <xf numFmtId="0" fontId="16" fillId="0" borderId="0" xfId="3" applyFont="1"/>
    <xf numFmtId="0" fontId="17" fillId="0" borderId="0" xfId="3" applyFont="1"/>
    <xf numFmtId="0" fontId="17" fillId="0" borderId="0" xfId="3" applyFont="1" applyBorder="1"/>
    <xf numFmtId="16" fontId="3" fillId="0" borderId="0" xfId="3" applyNumberFormat="1"/>
    <xf numFmtId="2" fontId="3" fillId="0" borderId="0" xfId="3" applyNumberFormat="1"/>
    <xf numFmtId="0" fontId="3" fillId="0" borderId="0" xfId="3" quotePrefix="1"/>
    <xf numFmtId="166" fontId="3" fillId="0" borderId="0" xfId="3" applyNumberFormat="1" applyAlignment="1">
      <alignment horizontal="center"/>
    </xf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9" fillId="0" borderId="0" xfId="3" applyFont="1"/>
    <xf numFmtId="167" fontId="15" fillId="0" borderId="31" xfId="5" applyNumberFormat="1" applyFont="1" applyBorder="1" applyAlignment="1">
      <alignment horizontal="right"/>
    </xf>
    <xf numFmtId="167" fontId="15" fillId="0" borderId="47" xfId="5" applyNumberFormat="1" applyFont="1" applyBorder="1" applyAlignment="1">
      <alignment horizontal="right"/>
    </xf>
    <xf numFmtId="167" fontId="15" fillId="0" borderId="0" xfId="5" applyNumberFormat="1" applyFont="1" applyBorder="1" applyAlignment="1">
      <alignment horizontal="right"/>
    </xf>
    <xf numFmtId="164" fontId="5" fillId="9" borderId="39" xfId="3" applyNumberFormat="1" applyFont="1" applyFill="1" applyBorder="1" applyAlignment="1"/>
    <xf numFmtId="164" fontId="3" fillId="9" borderId="45" xfId="3" applyNumberFormat="1" applyFill="1" applyBorder="1" applyAlignment="1"/>
    <xf numFmtId="164" fontId="5" fillId="9" borderId="37" xfId="3" applyNumberFormat="1" applyFont="1" applyFill="1" applyBorder="1" applyAlignment="1"/>
    <xf numFmtId="164" fontId="3" fillId="9" borderId="31" xfId="3" applyNumberFormat="1" applyFill="1" applyBorder="1" applyAlignment="1"/>
    <xf numFmtId="2" fontId="3" fillId="9" borderId="45" xfId="3" applyNumberFormat="1" applyFill="1" applyBorder="1" applyAlignment="1">
      <alignment horizontal="right"/>
    </xf>
    <xf numFmtId="167" fontId="15" fillId="9" borderId="31" xfId="5" applyNumberFormat="1" applyFont="1" applyFill="1" applyBorder="1" applyAlignment="1">
      <alignment horizontal="right"/>
    </xf>
    <xf numFmtId="167" fontId="3" fillId="9" borderId="45" xfId="5" applyNumberFormat="1" applyFont="1" applyFill="1" applyBorder="1" applyAlignment="1">
      <alignment horizontal="right"/>
    </xf>
    <xf numFmtId="1" fontId="5" fillId="10" borderId="0" xfId="3" applyNumberFormat="1" applyFont="1" applyFill="1" applyAlignment="1">
      <alignment horizontal="right"/>
    </xf>
    <xf numFmtId="0" fontId="5" fillId="10" borderId="37" xfId="3" applyFont="1" applyFill="1" applyBorder="1" applyAlignment="1">
      <alignment horizontal="center"/>
    </xf>
    <xf numFmtId="9" fontId="3" fillId="11" borderId="0" xfId="4" applyFill="1"/>
    <xf numFmtId="0" fontId="3" fillId="11" borderId="0" xfId="3" applyFill="1"/>
    <xf numFmtId="0" fontId="3" fillId="8" borderId="39" xfId="3" applyFont="1" applyFill="1" applyBorder="1" applyAlignment="1">
      <alignment horizontal="center"/>
    </xf>
    <xf numFmtId="0" fontId="3" fillId="8" borderId="37" xfId="3" applyFont="1" applyFill="1" applyBorder="1" applyAlignment="1">
      <alignment horizontal="center"/>
    </xf>
    <xf numFmtId="0" fontId="3" fillId="8" borderId="35" xfId="3" applyFont="1" applyFill="1" applyBorder="1" applyAlignment="1">
      <alignment horizontal="center"/>
    </xf>
    <xf numFmtId="1" fontId="3" fillId="9" borderId="31" xfId="3" applyNumberFormat="1" applyFill="1" applyBorder="1" applyAlignment="1">
      <alignment horizontal="center"/>
    </xf>
    <xf numFmtId="2" fontId="5" fillId="12" borderId="37" xfId="3" applyNumberFormat="1" applyFont="1" applyFill="1" applyBorder="1" applyAlignment="1">
      <alignment horizontal="right"/>
    </xf>
    <xf numFmtId="167" fontId="14" fillId="9" borderId="31" xfId="5" applyNumberFormat="1" applyFont="1" applyFill="1" applyBorder="1" applyAlignment="1">
      <alignment horizontal="right"/>
    </xf>
    <xf numFmtId="167" fontId="12" fillId="0" borderId="31" xfId="5" applyNumberFormat="1" applyFont="1" applyBorder="1" applyAlignment="1">
      <alignment horizontal="right"/>
    </xf>
    <xf numFmtId="167" fontId="3" fillId="0" borderId="31" xfId="5" applyNumberFormat="1" applyFont="1" applyBorder="1" applyAlignment="1">
      <alignment horizontal="right"/>
    </xf>
    <xf numFmtId="167" fontId="3" fillId="0" borderId="31" xfId="5" applyNumberFormat="1" applyFont="1" applyFill="1" applyBorder="1" applyAlignment="1">
      <alignment horizontal="right"/>
    </xf>
    <xf numFmtId="167" fontId="3" fillId="12" borderId="31" xfId="5" applyNumberFormat="1" applyFont="1" applyFill="1" applyBorder="1" applyAlignment="1">
      <alignment horizontal="right"/>
    </xf>
    <xf numFmtId="167" fontId="12" fillId="0" borderId="31" xfId="5" applyNumberFormat="1" applyFont="1" applyFill="1" applyBorder="1" applyAlignment="1">
      <alignment horizontal="left"/>
    </xf>
    <xf numFmtId="168" fontId="3" fillId="0" borderId="31" xfId="5" applyNumberFormat="1" applyFont="1" applyFill="1" applyBorder="1" applyAlignment="1">
      <alignment horizontal="right"/>
    </xf>
    <xf numFmtId="168" fontId="12" fillId="0" borderId="31" xfId="5" applyNumberFormat="1" applyFont="1" applyBorder="1" applyAlignment="1">
      <alignment horizontal="right"/>
    </xf>
    <xf numFmtId="15" fontId="19" fillId="13" borderId="54" xfId="1" applyNumberFormat="1" applyFont="1" applyFill="1" applyBorder="1"/>
    <xf numFmtId="0" fontId="21" fillId="0" borderId="0" xfId="3" applyFont="1" applyAlignment="1">
      <alignment vertical="top"/>
    </xf>
    <xf numFmtId="0" fontId="11" fillId="0" borderId="43" xfId="3" applyFont="1" applyBorder="1" applyAlignment="1">
      <alignment horizontal="center" wrapText="1"/>
    </xf>
    <xf numFmtId="0" fontId="11" fillId="0" borderId="32" xfId="3" applyFont="1" applyBorder="1" applyAlignment="1">
      <alignment horizontal="center" wrapText="1"/>
    </xf>
    <xf numFmtId="0" fontId="10" fillId="0" borderId="42" xfId="3" applyFont="1" applyBorder="1" applyAlignment="1">
      <alignment horizontal="center"/>
    </xf>
    <xf numFmtId="0" fontId="10" fillId="0" borderId="41" xfId="3" applyFont="1" applyBorder="1" applyAlignment="1">
      <alignment horizontal="center"/>
    </xf>
    <xf numFmtId="0" fontId="10" fillId="0" borderId="19" xfId="3" applyFont="1" applyBorder="1" applyAlignment="1">
      <alignment horizontal="center"/>
    </xf>
    <xf numFmtId="0" fontId="10" fillId="0" borderId="23" xfId="3" applyFont="1" applyBorder="1" applyAlignment="1">
      <alignment horizontal="center"/>
    </xf>
    <xf numFmtId="0" fontId="3" fillId="0" borderId="19" xfId="3" applyFont="1" applyBorder="1" applyAlignment="1">
      <alignment horizontal="center"/>
    </xf>
    <xf numFmtId="0" fontId="3" fillId="0" borderId="41" xfId="3" applyFont="1" applyBorder="1" applyAlignment="1">
      <alignment horizontal="center"/>
    </xf>
    <xf numFmtId="0" fontId="9" fillId="0" borderId="19" xfId="3" applyFont="1" applyBorder="1" applyAlignment="1">
      <alignment horizontal="center" wrapText="1"/>
    </xf>
    <xf numFmtId="0" fontId="9" fillId="0" borderId="41" xfId="3" applyFont="1" applyBorder="1" applyAlignment="1">
      <alignment horizontal="center" wrapText="1"/>
    </xf>
    <xf numFmtId="0" fontId="10" fillId="0" borderId="35" xfId="3" applyFont="1" applyBorder="1" applyAlignment="1">
      <alignment horizontal="center"/>
    </xf>
    <xf numFmtId="0" fontId="10" fillId="0" borderId="34" xfId="3" applyFont="1" applyBorder="1" applyAlignment="1">
      <alignment horizontal="center"/>
    </xf>
    <xf numFmtId="0" fontId="10" fillId="0" borderId="20" xfId="3" applyFont="1" applyBorder="1" applyAlignment="1">
      <alignment horizontal="center"/>
    </xf>
    <xf numFmtId="0" fontId="4" fillId="0" borderId="10" xfId="3" applyFont="1" applyBorder="1" applyAlignment="1">
      <alignment horizontal="center" wrapText="1"/>
    </xf>
    <xf numFmtId="0" fontId="4" fillId="0" borderId="11" xfId="3" applyFont="1" applyBorder="1" applyAlignment="1">
      <alignment horizontal="center" wrapText="1"/>
    </xf>
    <xf numFmtId="0" fontId="4" fillId="0" borderId="12" xfId="3" applyFont="1" applyBorder="1" applyAlignment="1">
      <alignment horizontal="center" wrapText="1"/>
    </xf>
    <xf numFmtId="0" fontId="4" fillId="0" borderId="26" xfId="3" applyFont="1" applyBorder="1" applyAlignment="1">
      <alignment horizontal="center" wrapText="1"/>
    </xf>
    <xf numFmtId="0" fontId="4" fillId="0" borderId="0" xfId="3" applyFont="1" applyBorder="1" applyAlignment="1">
      <alignment horizontal="center" wrapText="1"/>
    </xf>
    <xf numFmtId="0" fontId="4" fillId="0" borderId="27" xfId="3" applyFont="1" applyBorder="1" applyAlignment="1">
      <alignment horizontal="center" wrapText="1"/>
    </xf>
    <xf numFmtId="0" fontId="7" fillId="0" borderId="19" xfId="3" applyFont="1" applyBorder="1" applyAlignment="1">
      <alignment horizontal="center"/>
    </xf>
    <xf numFmtId="0" fontId="7" fillId="0" borderId="20" xfId="3" applyFont="1" applyBorder="1" applyAlignment="1">
      <alignment horizontal="center"/>
    </xf>
    <xf numFmtId="0" fontId="4" fillId="0" borderId="19" xfId="3" applyFont="1" applyBorder="1" applyAlignment="1">
      <alignment horizontal="center"/>
    </xf>
    <xf numFmtId="0" fontId="4" fillId="0" borderId="23" xfId="3" applyFont="1" applyBorder="1" applyAlignment="1">
      <alignment horizontal="center"/>
    </xf>
    <xf numFmtId="0" fontId="4" fillId="0" borderId="24" xfId="3" applyFont="1" applyBorder="1" applyAlignment="1">
      <alignment horizontal="center" wrapText="1"/>
    </xf>
    <xf numFmtId="0" fontId="4" fillId="0" borderId="25" xfId="3" applyFont="1" applyBorder="1" applyAlignment="1">
      <alignment horizontal="center" wrapText="1"/>
    </xf>
    <xf numFmtId="0" fontId="4" fillId="0" borderId="35" xfId="3" applyFont="1" applyBorder="1" applyAlignment="1">
      <alignment horizontal="center" wrapText="1"/>
    </xf>
    <xf numFmtId="0" fontId="4" fillId="0" borderId="34" xfId="3" applyFont="1" applyBorder="1" applyAlignment="1">
      <alignment horizontal="center" wrapText="1"/>
    </xf>
    <xf numFmtId="0" fontId="4" fillId="0" borderId="20" xfId="3" applyFont="1" applyBorder="1" applyAlignment="1">
      <alignment horizontal="center"/>
    </xf>
    <xf numFmtId="0" fontId="4" fillId="0" borderId="15" xfId="3" applyFont="1" applyBorder="1" applyAlignment="1">
      <alignment horizontal="center" wrapText="1"/>
    </xf>
    <xf numFmtId="0" fontId="4" fillId="0" borderId="18" xfId="3" applyFont="1" applyBorder="1" applyAlignment="1">
      <alignment horizontal="center" wrapText="1"/>
    </xf>
    <xf numFmtId="0" fontId="4" fillId="0" borderId="33" xfId="3" applyFont="1" applyBorder="1" applyAlignment="1">
      <alignment horizontal="center" wrapText="1"/>
    </xf>
    <xf numFmtId="0" fontId="4" fillId="0" borderId="16" xfId="3" applyFont="1" applyBorder="1" applyAlignment="1">
      <alignment horizontal="center" wrapText="1"/>
    </xf>
    <xf numFmtId="0" fontId="4" fillId="0" borderId="40" xfId="3" applyFont="1" applyBorder="1" applyAlignment="1">
      <alignment horizontal="center" wrapText="1"/>
    </xf>
    <xf numFmtId="0" fontId="4" fillId="0" borderId="24" xfId="3" quotePrefix="1" applyFont="1" applyBorder="1" applyAlignment="1">
      <alignment horizontal="center"/>
    </xf>
    <xf numFmtId="0" fontId="4" fillId="0" borderId="25" xfId="3" quotePrefix="1" applyFont="1" applyBorder="1" applyAlignment="1">
      <alignment horizontal="center"/>
    </xf>
    <xf numFmtId="0" fontId="4" fillId="0" borderId="35" xfId="3" quotePrefix="1" applyFont="1" applyBorder="1" applyAlignment="1">
      <alignment horizontal="center"/>
    </xf>
    <xf numFmtId="0" fontId="4" fillId="0" borderId="34" xfId="3" quotePrefix="1" applyFont="1" applyBorder="1" applyAlignment="1">
      <alignment horizontal="center"/>
    </xf>
    <xf numFmtId="0" fontId="4" fillId="6" borderId="3" xfId="3" applyFont="1" applyFill="1" applyBorder="1" applyAlignment="1">
      <alignment horizontal="center"/>
    </xf>
    <xf numFmtId="0" fontId="4" fillId="6" borderId="4" xfId="3" applyFont="1" applyFill="1" applyBorder="1" applyAlignment="1">
      <alignment horizontal="center"/>
    </xf>
    <xf numFmtId="0" fontId="4" fillId="6" borderId="9" xfId="3" applyFont="1" applyFill="1" applyBorder="1" applyAlignment="1">
      <alignment horizontal="center"/>
    </xf>
    <xf numFmtId="0" fontId="4" fillId="0" borderId="26" xfId="3" applyFont="1" applyBorder="1" applyAlignment="1">
      <alignment horizontal="center"/>
    </xf>
    <xf numFmtId="0" fontId="4" fillId="0" borderId="27" xfId="3" applyFont="1" applyBorder="1" applyAlignment="1">
      <alignment horizontal="center"/>
    </xf>
    <xf numFmtId="0" fontId="4" fillId="0" borderId="21" xfId="3" applyFont="1" applyBorder="1" applyAlignment="1">
      <alignment horizontal="center"/>
    </xf>
    <xf numFmtId="0" fontId="9" fillId="0" borderId="31" xfId="3" applyFont="1" applyBorder="1" applyAlignment="1">
      <alignment horizontal="center" wrapText="1"/>
    </xf>
    <xf numFmtId="0" fontId="5" fillId="3" borderId="3" xfId="3" applyFont="1" applyFill="1" applyBorder="1" applyAlignment="1">
      <alignment horizontal="center"/>
    </xf>
    <xf numFmtId="0" fontId="5" fillId="3" borderId="4" xfId="3" applyFont="1" applyFill="1" applyBorder="1" applyAlignment="1">
      <alignment horizontal="center"/>
    </xf>
    <xf numFmtId="0" fontId="5" fillId="3" borderId="5" xfId="3" applyFont="1" applyFill="1" applyBorder="1" applyAlignment="1">
      <alignment horizontal="center"/>
    </xf>
    <xf numFmtId="0" fontId="4" fillId="4" borderId="3" xfId="3" applyFont="1" applyFill="1" applyBorder="1" applyAlignment="1">
      <alignment horizontal="center"/>
    </xf>
    <xf numFmtId="0" fontId="4" fillId="4" borderId="4" xfId="3" applyFont="1" applyFill="1" applyBorder="1" applyAlignment="1">
      <alignment horizontal="center"/>
    </xf>
    <xf numFmtId="0" fontId="4" fillId="4" borderId="5" xfId="3" applyFont="1" applyFill="1" applyBorder="1" applyAlignment="1">
      <alignment horizontal="center"/>
    </xf>
    <xf numFmtId="0" fontId="4" fillId="4" borderId="6" xfId="3" applyFont="1" applyFill="1" applyBorder="1" applyAlignment="1">
      <alignment horizontal="center" wrapText="1"/>
    </xf>
    <xf numFmtId="0" fontId="4" fillId="4" borderId="21" xfId="3" applyFont="1" applyFill="1" applyBorder="1" applyAlignment="1">
      <alignment horizontal="center" wrapText="1"/>
    </xf>
    <xf numFmtId="0" fontId="4" fillId="4" borderId="38" xfId="3" applyFont="1" applyFill="1" applyBorder="1" applyAlignment="1">
      <alignment horizontal="center" wrapText="1"/>
    </xf>
    <xf numFmtId="0" fontId="6" fillId="0" borderId="7" xfId="3" applyFont="1" applyBorder="1" applyAlignment="1">
      <alignment horizontal="center" wrapText="1"/>
    </xf>
    <xf numFmtId="0" fontId="6" fillId="0" borderId="22" xfId="3" applyFont="1" applyBorder="1" applyAlignment="1">
      <alignment horizontal="center" wrapText="1"/>
    </xf>
    <xf numFmtId="0" fontId="6" fillId="0" borderId="39" xfId="3" applyFont="1" applyBorder="1" applyAlignment="1">
      <alignment horizontal="center" wrapText="1"/>
    </xf>
    <xf numFmtId="0" fontId="5" fillId="5" borderId="8" xfId="3" applyFont="1" applyFill="1" applyBorder="1" applyAlignment="1">
      <alignment horizontal="center"/>
    </xf>
    <xf numFmtId="0" fontId="5" fillId="5" borderId="4" xfId="3" applyFont="1" applyFill="1" applyBorder="1" applyAlignment="1">
      <alignment horizontal="center"/>
    </xf>
    <xf numFmtId="0" fontId="5" fillId="5" borderId="5" xfId="3" applyFont="1" applyFill="1" applyBorder="1" applyAlignment="1">
      <alignment horizontal="center"/>
    </xf>
    <xf numFmtId="0" fontId="4" fillId="0" borderId="15" xfId="3" applyFont="1" applyBorder="1" applyAlignment="1">
      <alignment horizontal="center"/>
    </xf>
    <xf numFmtId="0" fontId="4" fillId="0" borderId="25" xfId="3" applyFont="1" applyBorder="1" applyAlignment="1">
      <alignment horizontal="center"/>
    </xf>
    <xf numFmtId="0" fontId="4" fillId="0" borderId="33" xfId="3" applyFont="1" applyBorder="1" applyAlignment="1">
      <alignment horizontal="center"/>
    </xf>
    <xf numFmtId="0" fontId="4" fillId="0" borderId="34" xfId="3" applyFont="1" applyBorder="1" applyAlignment="1">
      <alignment horizontal="center"/>
    </xf>
    <xf numFmtId="0" fontId="4" fillId="0" borderId="24" xfId="3" applyFont="1" applyBorder="1" applyAlignment="1">
      <alignment horizontal="center"/>
    </xf>
    <xf numFmtId="0" fontId="4" fillId="0" borderId="35" xfId="3" applyFont="1" applyBorder="1" applyAlignment="1">
      <alignment horizontal="center"/>
    </xf>
    <xf numFmtId="0" fontId="4" fillId="0" borderId="38" xfId="3" applyFont="1" applyBorder="1" applyAlignment="1">
      <alignment horizontal="center"/>
    </xf>
  </cellXfs>
  <cellStyles count="6">
    <cellStyle name="Comma" xfId="5" builtinId="3"/>
    <cellStyle name="Hyperlink" xfId="2" builtinId="8"/>
    <cellStyle name="Input" xfId="1" builtinId="20"/>
    <cellStyle name="Normal" xfId="0" builtinId="0"/>
    <cellStyle name="Normal 2" xfId="3"/>
    <cellStyle name="Percent 2" xfId="4"/>
  </cellStyles>
  <dxfs count="0"/>
  <tableStyles count="0" defaultTableStyle="TableStyleMedium9" defaultPivotStyle="PivotStyleLight16"/>
</styleSheet>
</file>

<file path=xl/xmlMaps.xml><MapInfo xmlns="http://schemas.openxmlformats.org/spreadsheetml/2006/main" SelectionNamespaces="xmlns:ns1='http://www.w3.org/1999/xhtml' xmlns:ns2='http://www.w3.org/XML/1998/namespace' xmlns:ns3='http://wso2.org/projects/wsf/php/ds'"><Schema ID="Schema1" Namespace="http://www.w3.org/XML/1998/namespace"><xsd:schema xmlns:xsd="http://www.w3.org/2001/XMLSchema" targetNamespace="http://www.w3.org/XML/1998/namespace" xmlns:ns0="http://www.w3.org/XML/1998/namespace" xmlns=""><xsd:attribute name="lang" type="xsd:string"></xsd:attribute></xsd:schema>
	</Schema><Schema ID="Schema2" SchemaRef="Schema1" Namespace="http://www.w3.org/1999/xhtml"><xsd:schema xmlns:xsd="http://www.w3.org/2001/XMLSchema" targetNamespace="http://www.w3.org/1999/xhtml" xmlns:ns0="http://www.w3.org/XML/1998/namespace" xmlns:ns1="http://www.w3.org/1999/xhtml" xmlns=""><xsd:import namespace="http://www.w3.org/XML/1998/namespace"></xsd:import><xsd:element nillable="true" name="html"><xsd:complexType><xsd:sequence minOccurs="0"><xsd:element minOccurs="0" nillable="true" name="head" form="qualified"><xsd:complexType><xsd:sequence minOccurs="0" maxOccurs="unbounded"><xsd:element minOccurs="0" maxOccurs="unbounded" nillable="true" name="meta" form="qualified"><xsd:complexType><xsd:attribute name="http-equiv" form="unqualified" type="xsd:string"></xsd:attribute><xsd:attribute name="content" form="unqualified" type="xsd:string"></xsd:attribute></xsd:complexType></xsd:element><xsd:element minOccurs="0" maxOccurs="unbounded" nillable="true" name="link" form="qualified"><xsd:complexType><xsd:attribute name="rel" form="unqualified" type="xsd:string"></xsd:attribute><xsd:attribute name="href" form="unqualified" type="xsd:string"></xsd:attribute><xsd:attribute name="type" form="unqualified" type="xsd:string"></xsd:attribute><xsd:attribute name="media" form="unqualified" type="xsd:string"></xsd:attribute></xsd:complexType></xsd:element><xsd:element minOccurs="0" nillable="true" type="xsd:string" name="title" form="qualified"></xsd:element><xsd:element minOccurs="0" maxOccurs="unbounded" nillable="true" name="script" form="qualified"><xsd:complexType><xsd:simpleContent><xsd:extension base="xsd:string"><xsd:attribute name="type" form="unqualified" type="xsd:string"></xsd:attribute><xsd:attribute name="src" form="unqualified" type="xsd:string"></xsd:attribute></xsd:extension></xsd:simpleContent></xsd:complexType></xsd:element></xsd:sequence></xsd:complexType></xsd:element><xsd:element minOccurs="0" nillable="true" name="body" form="qualified"><xsd:complexType><xsd:sequence minOccurs="0"><xsd:element minOccurs="0" maxOccurs="unbounded" nillable="true" name="div" form="qualified"><xsd:complexType><xsd:sequence minOccurs="0"><xsd:element minOccurs="0" nillable="true" name="div" form="qualified"><xsd:complexType><xsd:sequence minOccurs="0"><xsd:element minOccurs="0" maxOccurs="unbounded" nillable="true" name="div" form="qualified"><xsd:complexType><xsd:sequence minOccurs="0"><xsd:element minOccurs="0" maxOccurs="unbounded" nillable="true" name="div" form="qualified"><xsd:complexType><xsd:all><xsd:element minOccurs="0" nillable="true" name="h1" form="qualified"><xsd:complexType><xsd:sequence minOccurs="0"><xsd:element minOccurs="0" nillable="true" name="a" form="qualified"><xsd:complexType><xsd:sequence minOccurs="0"><xsd:element minOccurs="0" nillable="true" name="img" form="qualified"><xsd:complexType><xsd:attribute name="src" form="unqualified" type="xsd:string"></xsd:attribute><xsd:attribute name="alt" form="unqualified" type="xsd:string"></xsd:attribute><xsd:attribute name="id" form="unqualified" type="xsd:string"></xsd:attribute></xsd:complexType></xsd:element><xsd:element minOccurs="0" nillable="true" type="xsd:string" name="span" form="qualified"></xsd:element></xsd:sequence><xsd:attribute name="href" form="unqualified" type="xsd:string"></xsd:attribute><xsd:attribute name="title" form="unqualified" type="xsd:string"></xsd:attribute></xsd:complexType></xsd:element></xsd:sequence></xsd:complexType></xsd:element><xsd:element minOccurs="0" nillable="true" type="xsd:string" name="h2" form="qualified"></xsd:element><xsd:element minOccurs="0" nillable="true" name="div" form="qualified"><xsd:complexType><xsd:all><xsd:element minOccurs="0" nillable="true" name="form" form="qualified"><xsd:complexType><xsd:sequence minOccurs="0"><xsd:element minOccurs="0" nillable="true" name="div" form="qualified"><xsd:complexType><xsd:sequence minOccurs="0" maxOccurs="unbounded"><xsd:element minOccurs="0" maxOccurs="unbounded" nillable="true" name="div" form="qualified"><xsd:complexType><xsd:all><xsd:element minOccurs="0" nillable="true" name="label" form="qualified"><xsd:complexType><xsd:sequence minOccurs="0"><xsd:element minOccurs="0" nillable="true" name="span" form="qualified"><xsd:complexType><xsd:simpleContent><xsd:extension base="xsd:string"><xsd:attribute name="class" form="unqualified" type="xsd:string"></xsd:attribute><xsd:attribute name="title" form="unqualified" type="xsd:string"></xsd:attribute></xsd:extension></xsd:simpleContent></xsd:complexType></xsd:element></xsd:sequence><xsd:attribute name="for" form="unqualified" type="xsd:string"></xsd:attribute></xsd:complexType></xsd:element><xsd:element minOccurs="0" nillable="true" name="input" form="qualified"><xsd:complexType><xsd:attribute name="type" form="unqualified" type="xsd:string"></xsd:attribute><xsd:attribute name="maxlength" form="unqualified" type="xsd:integer"></xsd:attribute><xsd:attribute name="name" form="unqualified" type="xsd:string"></xsd:attribute><xsd:attribute name="id" form="unqualified" type="xsd:string"></xsd:attribute><xsd:attribute name="size" form="unqualified" type="xsd:integer"></xsd:attribute><xsd:attribute name="value" form="unqualified" type="xsd:string"></xsd:attribute><xsd:attribute name="class" form="unqualified" type="xsd:string"></xsd:attribute></xsd:complexType></xsd:element><xsd:element minOccurs="0" nillable="true" name="ul" form="qualified"><xsd:complexType><xsd:sequence minOccurs="0"><xsd:element minOccurs="0" maxOccurs="unbounded" nillable="true" name="li" form="qualified"><xsd:complexType><xsd:sequence minOccurs="0"><xsd:element minOccurs="0" nillable="true" name="a" form="qualified"><xsd:complexType><xsd:simpleContent><xsd:extension base="xsd:string"><xsd:attribute name="href" form="unqualified" type="xsd:string"></xsd:attribute><xsd:attribute name="title" form="unqualified" type="xsd:string"></xsd:attribute></xsd:extension></xsd:simpleContent></xsd:complexType></xsd:element></xsd:sequence><xsd:attribute name="class" form="unqualified" type="xsd:string"></xsd:attribute></xsd:complexType></xsd:element></xsd:sequence></xsd:complexType></xsd:element></xsd:all><xsd:attribute name="class" form="unqualified" type="xsd:string"></xsd:attribute><xsd:attribute name="id" form="unqualified" type="xsd:string"></xsd:attribute></xsd:complexType></xsd:element><xsd:element minOccurs="0" maxOccurs="unbounded" nillable="true" name="input" form="qualified"><xsd:complexType><xsd:attribute name="type" form="unqualified" type="xsd:string"></xsd:attribute><xsd:attribute name="name" form="unqualified" type="xsd:string"></xsd:attribute><xsd:attribute name="id" form="unqualified" type="xsd:string"></xsd:attribute><xsd:attribute name="value" form="unqualified" type="xsd:string"></xsd:attribute><xsd:attribute name="class" form="unqualified" type="xsd:string"></xsd:attribute></xsd:complexType></xsd:element></xsd:sequence></xsd:complexType></xsd:element></xsd:sequence><xsd:attribute name="action" form="unqualified" type="xsd:string"></xsd:attribute><xsd:attribute name="accept-charset" form="unqualified" type="xsd:string"></xsd:attribute><xsd:attribute name="method" form="unqualified" type="xsd:string"></xsd:attribute><xsd:attribute name="id" form="unqualified" type="xsd:string"></xsd:attribute></xsd:complexType></xsd:element><xsd:element minOccurs="0" nillable="true" name="ul" form="qualified"><xsd:complexType><xsd:sequence minOccurs="0"><xsd:element minOccurs="0" nillable="true" name="li" form="qualified"><xsd:complexType><xsd:sequence minOccurs="0"><xsd:element minOccurs="0" nillable="true" name="a" form="qualified"><xsd:complexType><xsd:simpleContent><xsd:extension base="xsd:string"><xsd:attribute name="href" form="unqualified" type="xsd:string"></xsd:attribute></xsd:extension></xsd:simpleContent></xsd:complexType></xsd:element><xsd:element minOccurs="0" nillable="true" name="ul" form="qualified"><xsd:complexType><xsd:sequence minOccurs="0"><xsd:element minOccurs="0" nillable="true" name="li" form="qualified"><xsd:complexType><xsd:sequence minOccurs="0"><xsd:element minOccurs="0" nillable="true" name="a" form="qualified"><xsd:complexType><xsd:simpleContent><xsd:extension base="xsd:string"><xsd:attribute name="href" form="unqualified" type="xsd:string"></xsd:attribute><xsd:attribute name="class" form="unqualified" type="xsd:string"></xsd:attribute></xsd:extension></xsd:simpleContent></xsd:complexType></xsd:element></xsd:sequence><xsd:attribute name="class" form="unqualified" type="xsd:string"></xsd:attribute></xsd:complexType></xsd:element></xsd:sequence><xsd:attribute name="class" form="unqualified" type="xsd:string"></xsd:attribute></xsd:complexType></xsd:element></xsd:sequence><xsd:attribute name="class" form="unqualified" type="xsd:string"></xsd:attribute></xsd:complexType></xsd:element></xsd:sequence><xsd:attribute name="class" form="unqualified" type="xsd:string"></xsd:attribute></xsd:complexType></xsd:element><xsd:element minOccurs="0" nillable="true" name="div" form="qualified"><xsd:complexType><xsd:sequence minOccurs="0" maxOccurs="unbounded"><xsd:element minOccurs="0" maxOccurs="unbounded" nillable="true" name="div" form="qualified"><xsd:complexType><xsd:sequence minOccurs="0" maxOccurs="unbounded"><xsd:element minOccurs="0" maxOccurs="unbounded" nillable="true" name="a" form="qualified"><xsd:complexType><xsd:simpleContent><xsd:extension base="xsd:string"><xsd:attribute name="href" form="unqualified" type="xsd:string"></xsd:attribute></xsd:extension></xsd:simpleContent></xsd:complexType></xsd:element><xsd:element minOccurs="0" nillable="true" name="form" form="qualified"><xsd:complexType><xsd:sequence minOccurs="0"><xsd:element minOccurs="0" nillable="true" name="div" form="qualified"><xsd:complexType><xsd:sequence minOccurs="0"><xsd:element minOccurs="0" nillable="true" name="div" form="qualified"><xsd:complexType><xsd:sequence minOccurs="0"><xsd:element minOccurs="0" nillable="true" name="label" form="qualified"><xsd:complexType><xsd:simpleContent><xsd:extension base="xsd:string"><xsd:attribute name="for" form="unqualified" type="xsd:string"></xsd:attribute></xsd:extension></xsd:simpleContent></xsd:complexType></xsd:element><xsd:element minOccurs="0" nillable="true" name="input" form="qualified"><xsd:complexType><xsd:attribute name="type" form="unqualified" type="xsd:string"></xsd:attribute><xsd:attribute name="maxlength" form="unqualified" type="xsd:integer"></xsd:attribute><xsd:attribute name="name" form="unqualified" type="xsd:string"></xsd:attribute><xsd:attribute name="id" form="unqualified" type="xsd:string"></xsd:attribute><xsd:attribute name="size" form="unqualified" type="xsd:integer"></xsd:attribute><xsd:attribute name="value" form="unqualified" type="xsd:integer"></xsd:attribute><xsd:attribute name="class" form="unqualified" type="xsd:string"></xsd:attribute></xsd:complexType></xsd:element><xsd:element minOccurs="0" nillable="true" name="div" form="qualified"><xsd:complexType><xsd:simpleContent><xsd:extension base="xsd:string"><xsd:attribute name="class" form="unqualified" type="xsd:string"></xsd:attribute></xsd:extension></xsd:simpleContent></xsd:complexType></xsd:element></xsd:sequence><xsd:attribute name="class" form="unqualified" type="xsd:string"></xsd:attribute><xsd:attribute name="id" form="unqualified" type="xsd:string"></xsd:attribute></xsd:complexType></xsd:element><xsd:element minOccurs="0" maxOccurs="unbounded" nillable="true" name="input" form="qualified"><xsd:complexType><xsd:attribute name="type" form="unqualified" type="xsd:string"></xsd:attribute><xsd:attribute name="name" form="unqualified" type="xsd:string"></xsd:attribute><xsd:attribute name="id" form="unqualified" type="xsd:string"></xsd:attribute><xsd:attribute name="value" form="unqualified" type="xsd:string"></xsd:attribute><xsd:attribute name="class" form="unqualified" type="xsd:string"></xsd:attribute></xsd:complexType></xsd:element></xsd:sequence></xsd:complexType></xsd:element></xsd:sequence><xsd:attribute name="action" form="unqualified" type="xsd:string"></xsd:attribute><xsd:attribute name="accept-charset" form="unqualified" type="xsd:string"></xsd:attribute><xsd:attribute name="method" form="unqualified" type="xsd:string"></xsd:attribute><xsd:attribute name="id" form="unqualified" type="xsd:string"></xsd:attribute></xsd:complexType></xsd:element><xsd:element minOccurs="0" nillable="true" name="table" form="qualified"><xsd:complexType><xsd:sequence minOccurs="0"><xsd:element minOccurs="0" nillable="true" name="thead" form="qualified"><xsd:complexType><xsd:sequence minOccurs="0"><xsd:element minOccurs="0" nillable="true" name="tr" form="qualified"><xsd:complexType><xsd:sequence minOccurs="0"><xsd:element minOccurs="0" maxOccurs="unbounded" nillable="true" type="xsd:string" name="th" form="qualified"></xsd:element></xsd:sequence></xsd:complexType></xsd:element></xsd:sequence></xsd:complexType></xsd:element><xsd:element minOccurs="0" nillable="true" name="tbody" form="qualified"><xsd:complexType><xsd:sequence minOccurs="0"><xsd:element minOccurs="0" maxOccurs="unbounded" nillable="true" name="tr" form="qualified"><xsd:complexType><xsd:sequence minOccurs="0"><xsd:element minOccurs="0" maxOccurs="unbounded" nillable="true" type="xsd:string" name="td" form="qualified"></xsd:element></xsd:sequence><xsd:attribute name="class" form="unqualified" type="xsd:string"></xsd:attribute></xsd:complexType></xsd:element></xsd:sequence></xsd:complexType></xsd:element></xsd:sequence><xsd:attribute name="id" form="unqualified" type="xsd:string"></xsd:attribute><xsd:attribute name="align" form="unqualified" type="xsd:string"></xsd:attribute><xsd:attribute name="class" form="unqualified" type="xsd:string"></xsd:attribute></xsd:complexType></xsd:element><xsd:element minOccurs="0" nillable="true" name="div" form="qualified"><xsd:complexType><xsd:sequence minOccurs="0"><xsd:element minOccurs="0" nillable="true" name="div" form="qualified"><xsd:complexType><xsd:sequence minOccurs="0"><xsd:element minOccurs="0" nillable="true" name="a" form="qualified"><xsd:complexType><xsd:sequence minOccurs="0"><xsd:element minOccurs="0" nillable="true" name="img" form="qualified"><xsd:complexType><xsd:attribute name="src" form="unqualified" type="xsd:string"></xsd:attribute><xsd:attribute name="alt" form="unqualified" type="xsd:string"></xsd:attribute><xsd:attribute name="title" form="unqualified" type="xsd:string"></xsd:attribute><xsd:attribute name="width" form="unqualified" type="xsd:integer"></xsd:attribute><xsd:attribute name="height" form="unqualified" type="xsd:integer"></xsd:attribute></xsd:complexType></xsd:element></xsd:sequence><xsd:attribute name="href" form="unqualified" type="xsd:anyURI"></xsd:attribute></xsd:complexType></xsd:element></xsd:sequence><xsd:attribute name="class" form="unqualified" type="xsd:string"></xsd:attribute></xsd:complexType></xsd:element></xsd:sequence><xsd:attribute name="id" form="unqualified" type="xsd:string"></xsd:attribute><xsd:attribute name="class" form="unqualified" type="xsd:string"></xsd:attribute></xsd:complexType></xsd:element></xsd:sequence><xsd:attribute name="class" form="unqualified" type="xsd:string"></xsd:attribute><xsd:attribute name="id" form="unqualified" type="xsd:string"></xsd:attribute></xsd:complexType></xsd:element><xsd:element minOccurs="0" nillable="true" type="xsd:string" name="h2" form="qualified"></xsd:element></xsd:sequence><xsd:attribute name="class" form="unqualified" type="xsd:string"></xsd:attribute></xsd:complexType></xsd:element></xsd:all><xsd:attribute name="class" form="unqualified" type="xsd:string"></xsd:attribute></xsd:complexType></xsd:element></xsd:all><xsd:attribute name="id" form="unqualified" type="xsd:string"></xsd:attribute><xsd:attribute name="class" form="unqualified" type="xsd:string"></xsd:attribute></xsd:complexType></xsd:element></xsd:sequence><xsd:attribute name="id" form="unqualified" type="xsd:string"></xsd:attribute><xsd:attribute name="class" form="unqualified" type="xsd:string"></xsd:attribute></xsd:complexType></xsd:element></xsd:sequence><xsd:attribute name="id" form="unqualified" type="xsd:string"></xsd:attribute><xsd:attribute name="class" form="unqualified" type="xsd:string"></xsd:attribute></xsd:complexType></xsd:element></xsd:sequence><xsd:attribute name="id" form="unqualified" type="xsd:string"></xsd:attribute><xsd:attribute name="class" form="unqualified" type="xsd:string"></xsd:attribute></xsd:complexType></xsd:element></xsd:sequence><xsd:attribute name="class" form="unqualified" type="xsd:string"></xsd:attribute></xsd:complexType></xsd:element></xsd:sequence><xsd:attribute ref="ns0:lang"></xsd:attribute><xsd:attribute name="lang" form="unqualified" type="xsd:string"></xsd:attribute><xsd:attribute name="dir" form="unqualified" type="xsd:string"></xsd:attribute></xsd:complexType></xsd:element></xsd:schema>
	</Schema><Schema ID="Schema3"><xsd:schema xmlns:xsd="http://www.w3.org/2001/XMLSchema" xmlns=""><xsd:element nillable="true" name="methodResponse"><xsd:complexType><xsd:sequence minOccurs="0"><xsd:element minOccurs="0" nillable="true" name="params" form="unqualified"><xsd:complexType><xsd:sequence minOccurs="0"><xsd:element minOccurs="0" nillable="true" name="param" form="unqualified"><xsd:complexType><xsd:sequence minOccurs="0"><xsd:element minOccurs="0" nillable="true" name="value" form="unqualified"><xsd:complexType><xsd:sequence minOccurs="0"><xsd:element minOccurs="0" nillable="true" name="array" form="unqualified"><xsd:complexType><xsd:sequence minOccurs="0"><xsd:element minOccurs="0" nillable="true" name="data" form="unqualified"><xsd:complexType><xsd:sequence minOccurs="0"><xsd:element minOccurs="0" maxOccurs="unbounded" nillable="true" name="value" form="unqualified"><xsd:complexType><xsd:sequence minOccurs="0"><xsd:element minOccurs="0" nillable="true" name="array" form="unqualified"><xsd:complexType><xsd:sequence minOccurs="0"><xsd:element minOccurs="0" nillable="true" name="data" form="unqualified"><xsd:complexType><xsd:sequence minOccurs="0"><xsd:element minOccurs="0" maxOccurs="unbounded" nillable="true" name="value" form="unqualified"><xsd:complexType><xsd:sequence minOccurs="0"><xsd:element minOccurs="0" nillable="true" type="xsd:string" name="string" form="unqualified"></xsd:element></xsd:sequence></xsd:complexType></xsd:element></xsd:sequence></xsd:complexType></xsd:element></xsd:sequence></xsd:complexType></xsd:element></xsd:sequence></xsd:complexType></xsd:element></xsd:sequence></xsd:complexType></xsd:element></xsd:sequence></xsd:complexType></xsd:element></xsd:sequence></xsd:complexType></xsd:element></xsd:sequence></xsd:complexType></xsd:element></xsd:sequence></xsd:complexType></xsd:element></xsd:sequence></xsd:complexType></xsd:element></xsd:schema>
	</Schema><Schema ID="Schema4"><xsd:schema xmlns:xsd="http://www.w3.org/2001/XMLSchema" xmlns=""><xsd:element nillable="true" name="methodResponse"><xsd:complexType><xsd:sequence minOccurs="0"><xsd:element minOccurs="0" nillable="true" name="params" form="unqualified"><xsd:complexType><xsd:sequence minOccurs="0"><xsd:element minOccurs="0" nillable="true" name="param" form="unqualified"><xsd:complexType><xsd:sequence minOccurs="0"><xsd:element minOccurs="0" nillable="true" name="value" form="unqualified"><xsd:complexType><xsd:sequence minOccurs="0"><xsd:element minOccurs="0" nillable="true" name="array" form="unqualified"><xsd:complexType><xsd:sequence minOccurs="0"><xsd:element minOccurs="0" nillable="true" name="data" form="unqualified"><xsd:complexType><xsd:sequence minOccurs="0"><xsd:element minOccurs="0" maxOccurs="unbounded" nillable="true" name="value" form="unqualified"><xsd:complexType><xsd:sequence minOccurs="0"><xsd:element minOccurs="0" nillable="true" name="array" form="unqualified"><xsd:complexType><xsd:sequence minOccurs="0"><xsd:element minOccurs="0" nillable="true" name="data" form="unqualified"><xsd:complexType><xsd:sequence minOccurs="0"><xsd:element minOccurs="0" maxOccurs="unbounded" nillable="true" name="value" form="unqualified"><xsd:complexType><xsd:sequence minOccurs="0"><xsd:element minOccurs="0" nillable="true" type="xsd:string" name="string" form="unqualified"></xsd:element></xsd:sequence></xsd:complexType></xsd:element></xsd:sequence></xsd:complexType></xsd:element></xsd:sequence></xsd:complexType></xsd:element></xsd:sequence></xsd:complexType></xsd:element></xsd:sequence></xsd:complexType></xsd:element></xsd:sequence></xsd:complexType></xsd:element></xsd:sequence></xsd:complexType></xsd:element></xsd:sequence></xsd:complexType></xsd:element></xsd:sequence></xsd:complexType></xsd:element></xsd:sequence></xsd:complexType></xsd:element></xsd:schema>
	</Schema><Schema ID="Schema5" Namespace="http://wso2.org/projects/wsf/php/ds"><xsd:schema xmlns:xsd="http://www.w3.org/2001/XMLSchema" targetNamespace="http://wso2.org/projects/wsf/php/ds" xmlns:ns0="http://wso2.org/projects/wsf/php/ds" xmlns=""><xsd:element nillable="true" name="inputparam_table"><xsd:complexType><xsd:sequence minOccurs="0"><xsd:element minOccurs="0" maxOccurs="unbounded" nillable="true" name="table_row" form="qualified"><xsd:complexType><xsd:sequence minOccurs="0"><xsd:element minOccurs="0" nillable="true" type="xsd:integer" name="DataSetIndex" form="qualified"></xsd:element><xsd:element minOccurs="0" nillable="true" type="xsd:string" name="DataSetName" form="qualified"></xsd:element><xsd:element minOccurs="0" nillable="true" type="xsd:date" name="InputDate" form="qualified"></xsd:element><xsd:element minOccurs="0" nillable="true" type="xsd:double" name="InputValue" form="qualified"></xsd:element></xsd:sequence></xsd:complexType></xsd:element></xsd:sequence></xsd:complexType></xsd:element></xsd:schema>
	</Schema><Schema ID="Schema6" Namespace="http://wso2.org/projects/wsf/php/ds"><xsd:schema xmlns:xsd="http://www.w3.org/2001/XMLSchema" targetNamespace="http://wso2.org/projects/wsf/php/ds" xmlns:ns0="http://wso2.org/projects/wsf/php/ds" xmlns=""><xsd:element nillable="true" name="calldata_table"><xsd:complexType><xsd:sequence minOccurs="0"><xsd:element minOccurs="0" maxOccurs="unbounded" nillable="true" name="table_row" form="qualified"><xsd:complexType><xsd:sequence minOccurs="0"><xsd:element minOccurs="0" nillable="true" type="xsd:integer" name="DataSetIndex" form="qualified"></xsd:element><xsd:element minOccurs="0" nillable="true" type="xsd:string" name="DataSetName" form="qualified"></xsd:element><xsd:element minOccurs="0" nillable="true" type="xsd:date" name="InputDate" form="qualified"></xsd:element><xsd:element minOccurs="0" nillable="true" type="xsd:integer" name="CallAdminNo" form="qualified"></xsd:element></xsd:sequence></xsd:complexType></xsd:element></xsd:sequence></xsd:complexType></xsd:element></xsd:schema>
	</Schema><Map ID="7" Name="calldata_table_Map" RootElement="calldata_table" SchemaID="Schema6" ShowImportExportValidationErrors="false" AutoFit="true" Append="false" PreserveSortAFLayout="true" PreserveFormat="true"><DataBinding FileBinding="true" ConnectionID="1" DataBindingLoadMode="1"/></Map><Map ID="1" Name="html_Map" RootElement="html" SchemaID="Schema2" ShowImportExportValidationErrors="false" AutoFit="true" Append="false" PreserveSortAFLayout="true" PreserveFormat="true"/><Map ID="4" Name="inputparam_table_Map" RootElement="inputparam_table" SchemaID="Schema5" ShowImportExportValidationErrors="false" AutoFit="true" Append="false" PreserveSortAFLayout="true" PreserveFormat="true"><DataBinding FileBinding="true" ConnectionID="2" DataBindingLoadMode="1"/></Map><Map ID="2" Name="methodResponse_Map" RootElement="methodResponse" SchemaID="Schema3" ShowImportExportValidationErrors="false" AutoFit="true" Append="false" PreserveSortAFLayout="true" PreserveFormat="true"><DataBinding FileBinding="true" ConnectionID="3" DataBindingLoadMode="1"/></Map><Map ID="3" Name="methodResponse_Map1" RootElement="methodResponse" SchemaID="Schema4" ShowImportExportValidationErrors="false" AutoFit="true" Append="false" PreserveSortAFLayout="true" PreserveFormat="true"><DataBinding FileBinding="true" ConnectionID="4" DataBindingLoadMode="1"/></Map></MapInfo>
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elly" refreshedDate="40406.691260532411" createdVersion="3" refreshedVersion="3" minRefreshableVersion="3" recordCount="384">
  <cacheSource type="worksheet">
    <worksheetSource name="Table1[#All]"/>
  </cacheSource>
  <cacheFields count="4">
    <cacheField name="ns3:DataSetIndex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ns3:DataSetName" numFmtId="49">
      <sharedItems/>
    </cacheField>
    <cacheField name="ns3:InputDate" numFmtId="14">
      <sharedItems containsSemiMixedTypes="0" containsNonDate="0" containsDate="1" containsString="0" minDate="2009-03-31T00:00:00" maxDate="2010-02-01T00:00:00" count="278">
        <d v="2009-09-30T00:00:00"/>
        <d v="2009-10-01T00:00:00"/>
        <d v="2009-10-02T00:00:00"/>
        <d v="2009-10-03T00:00:00"/>
        <d v="2009-10-04T00:00:00"/>
        <d v="2009-10-05T00:00:00"/>
        <d v="2009-10-06T00:00:00"/>
        <d v="2009-10-07T00:00:00"/>
        <d v="2009-10-08T00:00:00"/>
        <d v="2009-10-09T00:00:00"/>
        <d v="2009-10-10T00:00:00"/>
        <d v="2009-10-11T00:00:00"/>
        <d v="2009-10-12T00:00:00"/>
        <d v="2009-10-13T00:00:00"/>
        <d v="2009-10-14T00:00:00"/>
        <d v="2009-10-15T00:00:00"/>
        <d v="2009-10-16T00:00:00"/>
        <d v="2009-10-17T00:00:00"/>
        <d v="2009-10-18T00:00:00"/>
        <d v="2009-10-19T00:00:00"/>
        <d v="2009-10-20T00:00:00"/>
        <d v="2009-10-21T00:00:00"/>
        <d v="2009-10-22T00:00:00"/>
        <d v="2009-10-23T00:00:00"/>
        <d v="2009-10-24T00:00:00"/>
        <d v="2009-10-25T00:00:00"/>
        <d v="2009-10-26T00:00:00"/>
        <d v="2009-10-27T00:00:00"/>
        <d v="2009-10-28T00:00:00"/>
        <d v="2009-10-29T00:00:00"/>
        <d v="2009-10-30T00:00:00"/>
        <d v="2009-10-31T00:00:00"/>
        <d v="2009-08-13T00:00:00" u="1"/>
        <d v="2009-04-05T00:00:00" u="1"/>
        <d v="2009-07-27T00:00:00" u="1"/>
        <d v="2009-09-18T00:00:00" u="1"/>
        <d v="2009-11-09T00:00:00" u="1"/>
        <d v="2010-01-09T00:00:00" u="1"/>
        <d v="2009-05-10T00:00:00" u="1"/>
        <d v="2009-07-01T00:00:00" u="1"/>
        <d v="2009-12-14T00:00:00" u="1"/>
        <d v="2009-04-24T00:00:00" u="1"/>
        <d v="2009-08-06T00:00:00" u="1"/>
        <d v="2009-11-28T00:00:00" u="1"/>
        <d v="2010-01-28T00:00:00" u="1"/>
        <d v="2009-05-29T00:00:00" u="1"/>
        <d v="2009-07-20T00:00:00" u="1"/>
        <d v="2009-09-11T00:00:00" u="1"/>
        <d v="2009-11-02T00:00:00" u="1"/>
        <d v="2010-01-02T00:00:00" u="1"/>
        <d v="2009-05-03T00:00:00" u="1"/>
        <d v="2009-08-25T00:00:00" u="1"/>
        <d v="2009-12-07T00:00:00" u="1"/>
        <d v="2009-04-17T00:00:00" u="1"/>
        <d v="2009-11-21T00:00:00" u="1"/>
        <d v="2010-01-21T00:00:00" u="1"/>
        <d v="2009-03-31T00:00:00" u="1"/>
        <d v="2009-05-22T00:00:00" u="1"/>
        <d v="2009-07-13T00:00:00" u="1"/>
        <d v="2009-09-04T00:00:00" u="1"/>
        <d v="2009-12-26T00:00:00" u="1"/>
        <d v="2009-08-18T00:00:00" u="1"/>
        <d v="2009-04-10T00:00:00" u="1"/>
        <d v="2009-09-23T00:00:00" u="1"/>
        <d v="2009-11-14T00:00:00" u="1"/>
        <d v="2010-01-14T00:00:00" u="1"/>
        <d v="2009-05-15T00:00:00" u="1"/>
        <d v="2009-07-06T00:00:00" u="1"/>
        <d v="2009-12-19T00:00:00" u="1"/>
        <d v="2009-04-29T00:00:00" u="1"/>
        <d v="2009-08-11T00:00:00" u="1"/>
        <d v="2009-04-03T00:00:00" u="1"/>
        <d v="2009-07-25T00:00:00" u="1"/>
        <d v="2009-09-16T00:00:00" u="1"/>
        <d v="2009-11-07T00:00:00" u="1"/>
        <d v="2010-01-07T00:00:00" u="1"/>
        <d v="2009-05-08T00:00:00" u="1"/>
        <d v="2009-08-30T00:00:00" u="1"/>
        <d v="2009-12-12T00:00:00" u="1"/>
        <d v="2009-04-22T00:00:00" u="1"/>
        <d v="2009-08-04T00:00:00" u="1"/>
        <d v="2009-11-26T00:00:00" u="1"/>
        <d v="2010-01-26T00:00:00" u="1"/>
        <d v="2009-05-27T00:00:00" u="1"/>
        <d v="2009-07-18T00:00:00" u="1"/>
        <d v="2009-09-09T00:00:00" u="1"/>
        <d v="2009-12-31T00:00:00" u="1"/>
        <d v="2009-05-01T00:00:00" u="1"/>
        <d v="2009-08-23T00:00:00" u="1"/>
        <d v="2009-12-05T00:00:00" u="1"/>
        <d v="2009-04-15T00:00:00" u="1"/>
        <d v="2009-09-28T00:00:00" u="1"/>
        <d v="2009-11-19T00:00:00" u="1"/>
        <d v="2010-01-19T00:00:00" u="1"/>
        <d v="2009-05-20T00:00:00" u="1"/>
        <d v="2009-07-11T00:00:00" u="1"/>
        <d v="2009-09-02T00:00:00" u="1"/>
        <d v="2009-12-24T00:00:00" u="1"/>
        <d v="2009-08-16T00:00:00" u="1"/>
        <d v="2009-04-08T00:00:00" u="1"/>
        <d v="2009-07-30T00:00:00" u="1"/>
        <d v="2009-09-21T00:00:00" u="1"/>
        <d v="2009-11-12T00:00:00" u="1"/>
        <d v="2010-01-12T00:00:00" u="1"/>
        <d v="2009-05-13T00:00:00" u="1"/>
        <d v="2009-07-04T00:00:00" u="1"/>
        <d v="2009-12-17T00:00:00" u="1"/>
        <d v="2009-04-27T00:00:00" u="1"/>
        <d v="2009-08-09T00:00:00" u="1"/>
        <d v="2010-01-31T00:00:00" u="1"/>
        <d v="2009-04-01T00:00:00" u="1"/>
        <d v="2009-07-23T00:00:00" u="1"/>
        <d v="2009-09-14T00:00:00" u="1"/>
        <d v="2009-11-05T00:00:00" u="1"/>
        <d v="2010-01-05T00:00:00" u="1"/>
        <d v="2009-05-06T00:00:00" u="1"/>
        <d v="2009-08-28T00:00:00" u="1"/>
        <d v="2009-12-10T00:00:00" u="1"/>
        <d v="2009-04-20T00:00:00" u="1"/>
        <d v="2009-08-02T00:00:00" u="1"/>
        <d v="2009-11-24T00:00:00" u="1"/>
        <d v="2010-01-24T00:00:00" u="1"/>
        <d v="2009-05-25T00:00:00" u="1"/>
        <d v="2009-07-16T00:00:00" u="1"/>
        <d v="2009-09-07T00:00:00" u="1"/>
        <d v="2009-12-29T00:00:00" u="1"/>
        <d v="2009-06-30T00:00:00" u="1"/>
        <d v="2009-08-21T00:00:00" u="1"/>
        <d v="2009-12-03T00:00:00" u="1"/>
        <d v="2009-04-13T00:00:00" u="1"/>
        <d v="2009-09-26T00:00:00" u="1"/>
        <d v="2009-11-17T00:00:00" u="1"/>
        <d v="2010-01-17T00:00:00" u="1"/>
        <d v="2009-05-18T00:00:00" u="1"/>
        <d v="2009-07-09T00:00:00" u="1"/>
        <d v="2009-12-22T00:00:00" u="1"/>
        <d v="2009-08-14T00:00:00" u="1"/>
        <d v="2009-04-06T00:00:00" u="1"/>
        <d v="2009-07-28T00:00:00" u="1"/>
        <d v="2009-09-19T00:00:00" u="1"/>
        <d v="2009-11-10T00:00:00" u="1"/>
        <d v="2010-01-10T00:00:00" u="1"/>
        <d v="2009-05-11T00:00:00" u="1"/>
        <d v="2009-07-02T00:00:00" u="1"/>
        <d v="2009-12-15T00:00:00" u="1"/>
        <d v="2009-04-25T00:00:00" u="1"/>
        <d v="2009-08-07T00:00:00" u="1"/>
        <d v="2009-11-29T00:00:00" u="1"/>
        <d v="2010-01-29T00:00:00" u="1"/>
        <d v="2009-05-30T00:00:00" u="1"/>
        <d v="2009-07-21T00:00:00" u="1"/>
        <d v="2009-09-12T00:00:00" u="1"/>
        <d v="2009-11-03T00:00:00" u="1"/>
        <d v="2010-01-03T00:00:00" u="1"/>
        <d v="2009-05-04T00:00:00" u="1"/>
        <d v="2009-08-26T00:00:00" u="1"/>
        <d v="2009-12-08T00:00:00" u="1"/>
        <d v="2009-04-18T00:00:00" u="1"/>
        <d v="2009-11-22T00:00:00" u="1"/>
        <d v="2010-01-22T00:00:00" u="1"/>
        <d v="2009-05-23T00:00:00" u="1"/>
        <d v="2009-07-14T00:00:00" u="1"/>
        <d v="2009-09-05T00:00:00" u="1"/>
        <d v="2009-12-27T00:00:00" u="1"/>
        <d v="2009-08-19T00:00:00" u="1"/>
        <d v="2009-12-01T00:00:00" u="1"/>
        <d v="2009-04-11T00:00:00" u="1"/>
        <d v="2009-09-24T00:00:00" u="1"/>
        <d v="2009-11-15T00:00:00" u="1"/>
        <d v="2010-01-15T00:00:00" u="1"/>
        <d v="2009-05-16T00:00:00" u="1"/>
        <d v="2009-07-07T00:00:00" u="1"/>
        <d v="2009-12-20T00:00:00" u="1"/>
        <d v="2009-04-30T00:00:00" u="1"/>
        <d v="2009-08-12T00:00:00" u="1"/>
        <d v="2009-04-04T00:00:00" u="1"/>
        <d v="2009-07-26T00:00:00" u="1"/>
        <d v="2009-09-17T00:00:00" u="1"/>
        <d v="2009-11-08T00:00:00" u="1"/>
        <d v="2010-01-08T00:00:00" u="1"/>
        <d v="2009-05-09T00:00:00" u="1"/>
        <d v="2009-08-31T00:00:00" u="1"/>
        <d v="2009-12-13T00:00:00" u="1"/>
        <d v="2009-04-23T00:00:00" u="1"/>
        <d v="2009-08-05T00:00:00" u="1"/>
        <d v="2009-11-27T00:00:00" u="1"/>
        <d v="2010-01-27T00:00:00" u="1"/>
        <d v="2009-05-28T00:00:00" u="1"/>
        <d v="2009-07-19T00:00:00" u="1"/>
        <d v="2009-09-10T00:00:00" u="1"/>
        <d v="2009-11-01T00:00:00" u="1"/>
        <d v="2010-01-01T00:00:00" u="1"/>
        <d v="2009-05-02T00:00:00" u="1"/>
        <d v="2009-08-24T00:00:00" u="1"/>
        <d v="2009-12-06T00:00:00" u="1"/>
        <d v="2009-04-16T00:00:00" u="1"/>
        <d v="2009-09-29T00:00:00" u="1"/>
        <d v="2009-11-20T00:00:00" u="1"/>
        <d v="2010-01-20T00:00:00" u="1"/>
        <d v="2009-05-21T00:00:00" u="1"/>
        <d v="2009-07-12T00:00:00" u="1"/>
        <d v="2009-09-03T00:00:00" u="1"/>
        <d v="2009-12-25T00:00:00" u="1"/>
        <d v="2009-08-17T00:00:00" u="1"/>
        <d v="2009-04-09T00:00:00" u="1"/>
        <d v="2009-07-31T00:00:00" u="1"/>
        <d v="2009-09-22T00:00:00" u="1"/>
        <d v="2009-11-13T00:00:00" u="1"/>
        <d v="2010-01-13T00:00:00" u="1"/>
        <d v="2009-05-14T00:00:00" u="1"/>
        <d v="2009-07-05T00:00:00" u="1"/>
        <d v="2009-12-18T00:00:00" u="1"/>
        <d v="2009-04-28T00:00:00" u="1"/>
        <d v="2009-08-10T00:00:00" u="1"/>
        <d v="2009-04-02T00:00:00" u="1"/>
        <d v="2009-07-24T00:00:00" u="1"/>
        <d v="2009-09-15T00:00:00" u="1"/>
        <d v="2009-11-06T00:00:00" u="1"/>
        <d v="2010-01-06T00:00:00" u="1"/>
        <d v="2009-05-07T00:00:00" u="1"/>
        <d v="2009-08-29T00:00:00" u="1"/>
        <d v="2009-12-11T00:00:00" u="1"/>
        <d v="2009-04-21T00:00:00" u="1"/>
        <d v="2009-08-03T00:00:00" u="1"/>
        <d v="2009-11-25T00:00:00" u="1"/>
        <d v="2010-01-25T00:00:00" u="1"/>
        <d v="2009-05-26T00:00:00" u="1"/>
        <d v="2009-07-17T00:00:00" u="1"/>
        <d v="2009-09-08T00:00:00" u="1"/>
        <d v="2009-12-30T00:00:00" u="1"/>
        <d v="2009-08-22T00:00:00" u="1"/>
        <d v="2009-12-04T00:00:00" u="1"/>
        <d v="2009-04-14T00:00:00" u="1"/>
        <d v="2009-09-27T00:00:00" u="1"/>
        <d v="2009-11-18T00:00:00" u="1"/>
        <d v="2010-01-18T00:00:00" u="1"/>
        <d v="2009-05-19T00:00:00" u="1"/>
        <d v="2009-07-10T00:00:00" u="1"/>
        <d v="2009-09-01T00:00:00" u="1"/>
        <d v="2009-12-23T00:00:00" u="1"/>
        <d v="2009-08-15T00:00:00" u="1"/>
        <d v="2009-04-07T00:00:00" u="1"/>
        <d v="2009-07-29T00:00:00" u="1"/>
        <d v="2009-09-20T00:00:00" u="1"/>
        <d v="2009-11-11T00:00:00" u="1"/>
        <d v="2010-01-11T00:00:00" u="1"/>
        <d v="2009-05-12T00:00:00" u="1"/>
        <d v="2009-07-03T00:00:00" u="1"/>
        <d v="2009-12-16T00:00:00" u="1"/>
        <d v="2009-04-26T00:00:00" u="1"/>
        <d v="2009-08-08T00:00:00" u="1"/>
        <d v="2009-11-30T00:00:00" u="1"/>
        <d v="2010-01-30T00:00:00" u="1"/>
        <d v="2009-05-31T00:00:00" u="1"/>
        <d v="2009-07-22T00:00:00" u="1"/>
        <d v="2009-09-13T00:00:00" u="1"/>
        <d v="2009-11-04T00:00:00" u="1"/>
        <d v="2010-01-04T00:00:00" u="1"/>
        <d v="2009-05-05T00:00:00" u="1"/>
        <d v="2009-08-27T00:00:00" u="1"/>
        <d v="2009-12-09T00:00:00" u="1"/>
        <d v="2009-04-19T00:00:00" u="1"/>
        <d v="2009-08-01T00:00:00" u="1"/>
        <d v="2009-11-23T00:00:00" u="1"/>
        <d v="2010-01-23T00:00:00" u="1"/>
        <d v="2009-05-24T00:00:00" u="1"/>
        <d v="2009-07-15T00:00:00" u="1"/>
        <d v="2009-09-06T00:00:00" u="1"/>
        <d v="2009-12-28T00:00:00" u="1"/>
        <d v="2009-08-20T00:00:00" u="1"/>
        <d v="2009-12-02T00:00:00" u="1"/>
        <d v="2009-04-12T00:00:00" u="1"/>
        <d v="2009-09-25T00:00:00" u="1"/>
        <d v="2009-11-16T00:00:00" u="1"/>
        <d v="2010-01-16T00:00:00" u="1"/>
        <d v="2009-05-17T00:00:00" u="1"/>
        <d v="2009-07-08T00:00:00" u="1"/>
        <d v="2009-12-21T00:00:00" u="1"/>
      </sharedItems>
    </cacheField>
    <cacheField name="ns3:InputValue" numFmtId="0">
      <sharedItems containsSemiMixedTypes="0" containsString="0" containsNumber="1" minValue="0" maxValue="7.8849999999999998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4">
  <r>
    <x v="0"/>
    <s v="total_measured_effluent_production"/>
    <x v="0"/>
    <n v="4.4980000000000002"/>
  </r>
  <r>
    <x v="0"/>
    <s v="total_measured_effluent_production"/>
    <x v="1"/>
    <n v="4.6079999999999997"/>
  </r>
  <r>
    <x v="0"/>
    <s v="total_measured_effluent_production"/>
    <x v="2"/>
    <n v="5.048"/>
  </r>
  <r>
    <x v="0"/>
    <s v="total_measured_effluent_production"/>
    <x v="3"/>
    <n v="4.8499999999999996"/>
  </r>
  <r>
    <x v="0"/>
    <s v="total_measured_effluent_production"/>
    <x v="4"/>
    <n v="4.7990000000000004"/>
  </r>
  <r>
    <x v="0"/>
    <s v="total_measured_effluent_production"/>
    <x v="5"/>
    <n v="5.3259999999999996"/>
  </r>
  <r>
    <x v="0"/>
    <s v="total_measured_effluent_production"/>
    <x v="6"/>
    <n v="5.484"/>
  </r>
  <r>
    <x v="0"/>
    <s v="total_measured_effluent_production"/>
    <x v="7"/>
    <n v="5.4359999999999999"/>
  </r>
  <r>
    <x v="0"/>
    <s v="total_measured_effluent_production"/>
    <x v="8"/>
    <n v="5.3739999999999997"/>
  </r>
  <r>
    <x v="0"/>
    <s v="total_measured_effluent_production"/>
    <x v="9"/>
    <n v="5.8390000000000004"/>
  </r>
  <r>
    <x v="0"/>
    <s v="total_measured_effluent_production"/>
    <x v="10"/>
    <n v="5.8170000000000002"/>
  </r>
  <r>
    <x v="0"/>
    <s v="total_measured_effluent_production"/>
    <x v="11"/>
    <n v="5.5970000000000004"/>
  </r>
  <r>
    <x v="0"/>
    <s v="total_measured_effluent_production"/>
    <x v="12"/>
    <n v="5.4359999999999999"/>
  </r>
  <r>
    <x v="0"/>
    <s v="total_measured_effluent_production"/>
    <x v="13"/>
    <n v="5.1319999999999997"/>
  </r>
  <r>
    <x v="0"/>
    <s v="total_measured_effluent_production"/>
    <x v="14"/>
    <n v="5.0990000000000002"/>
  </r>
  <r>
    <x v="0"/>
    <s v="total_measured_effluent_production"/>
    <x v="15"/>
    <n v="4.8529999999999998"/>
  </r>
  <r>
    <x v="0"/>
    <s v="total_measured_effluent_production"/>
    <x v="16"/>
    <n v="4.7359999999999998"/>
  </r>
  <r>
    <x v="0"/>
    <s v="total_measured_effluent_production"/>
    <x v="17"/>
    <n v="4.5970000000000004"/>
  </r>
  <r>
    <x v="0"/>
    <s v="total_measured_effluent_production"/>
    <x v="18"/>
    <n v="4.6589999999999998"/>
  </r>
  <r>
    <x v="0"/>
    <s v="total_measured_effluent_production"/>
    <x v="19"/>
    <n v="4.9160000000000004"/>
  </r>
  <r>
    <x v="0"/>
    <s v="total_measured_effluent_production"/>
    <x v="20"/>
    <n v="4.875"/>
  </r>
  <r>
    <x v="0"/>
    <s v="total_measured_effluent_production"/>
    <x v="21"/>
    <n v="5.78"/>
  </r>
  <r>
    <x v="0"/>
    <s v="total_measured_effluent_production"/>
    <x v="22"/>
    <n v="5.399"/>
  </r>
  <r>
    <x v="0"/>
    <s v="total_measured_effluent_production"/>
    <x v="23"/>
    <n v="4.9710000000000001"/>
  </r>
  <r>
    <x v="0"/>
    <s v="total_measured_effluent_production"/>
    <x v="24"/>
    <n v="4.8609999999999998"/>
  </r>
  <r>
    <x v="0"/>
    <s v="total_measured_effluent_production"/>
    <x v="25"/>
    <n v="5.33"/>
  </r>
  <r>
    <x v="0"/>
    <s v="total_measured_effluent_production"/>
    <x v="26"/>
    <n v="5.41"/>
  </r>
  <r>
    <x v="0"/>
    <s v="total_measured_effluent_production"/>
    <x v="27"/>
    <n v="5.0990000000000002"/>
  </r>
  <r>
    <x v="0"/>
    <s v="total_measured_effluent_production"/>
    <x v="28"/>
    <n v="5.85"/>
  </r>
  <r>
    <x v="0"/>
    <s v="total_measured_effluent_production"/>
    <x v="29"/>
    <n v="5.9630000000000001"/>
  </r>
  <r>
    <x v="0"/>
    <s v="total_measured_effluent_production"/>
    <x v="30"/>
    <n v="6.0439999999999996"/>
  </r>
  <r>
    <x v="0"/>
    <s v="total_measured_effluent_production"/>
    <x v="31"/>
    <n v="5.5570000000000004"/>
  </r>
  <r>
    <x v="1"/>
    <s v="denver_potable_water_deliveries"/>
    <x v="0"/>
    <n v="7.8849999999999998"/>
  </r>
  <r>
    <x v="1"/>
    <s v="denver_potable_water_deliveries"/>
    <x v="1"/>
    <n v="4.7149999999999999"/>
  </r>
  <r>
    <x v="1"/>
    <s v="denver_potable_water_deliveries"/>
    <x v="2"/>
    <n v="5.7359999999999998"/>
  </r>
  <r>
    <x v="1"/>
    <s v="denver_potable_water_deliveries"/>
    <x v="3"/>
    <n v="5.4660000000000002"/>
  </r>
  <r>
    <x v="1"/>
    <s v="denver_potable_water_deliveries"/>
    <x v="4"/>
    <n v="5.3579999999999997"/>
  </r>
  <r>
    <x v="1"/>
    <s v="denver_potable_water_deliveries"/>
    <x v="5"/>
    <n v="5.0529999999999999"/>
  </r>
  <r>
    <x v="1"/>
    <s v="denver_potable_water_deliveries"/>
    <x v="6"/>
    <n v="3.9580000000000002"/>
  </r>
  <r>
    <x v="1"/>
    <s v="denver_potable_water_deliveries"/>
    <x v="7"/>
    <n v="2.5960000000000001"/>
  </r>
  <r>
    <x v="1"/>
    <s v="denver_potable_water_deliveries"/>
    <x v="8"/>
    <n v="0.96399999999999997"/>
  </r>
  <r>
    <x v="1"/>
    <s v="denver_potable_water_deliveries"/>
    <x v="9"/>
    <n v="1.8819999999999999"/>
  </r>
  <r>
    <x v="1"/>
    <s v="denver_potable_water_deliveries"/>
    <x v="10"/>
    <n v="1.6990000000000001"/>
  </r>
  <r>
    <x v="1"/>
    <s v="denver_potable_water_deliveries"/>
    <x v="11"/>
    <n v="4.1319999999999997"/>
  </r>
  <r>
    <x v="1"/>
    <s v="denver_potable_water_deliveries"/>
    <x v="12"/>
    <n v="2.4990000000000001"/>
  </r>
  <r>
    <x v="1"/>
    <s v="denver_potable_water_deliveries"/>
    <x v="13"/>
    <n v="4.141"/>
  </r>
  <r>
    <x v="1"/>
    <s v="denver_potable_water_deliveries"/>
    <x v="14"/>
    <n v="4.1349999999999998"/>
  </r>
  <r>
    <x v="1"/>
    <s v="denver_potable_water_deliveries"/>
    <x v="15"/>
    <n v="4.32"/>
  </r>
  <r>
    <x v="1"/>
    <s v="denver_potable_water_deliveries"/>
    <x v="16"/>
    <n v="4.2450000000000001"/>
  </r>
  <r>
    <x v="1"/>
    <s v="denver_potable_water_deliveries"/>
    <x v="17"/>
    <n v="4.8810000000000002"/>
  </r>
  <r>
    <x v="1"/>
    <s v="denver_potable_water_deliveries"/>
    <x v="18"/>
    <n v="4.633"/>
  </r>
  <r>
    <x v="1"/>
    <s v="denver_potable_water_deliveries"/>
    <x v="19"/>
    <n v="4.2210000000000001"/>
  </r>
  <r>
    <x v="1"/>
    <s v="denver_potable_water_deliveries"/>
    <x v="20"/>
    <n v="2.1579999999999999"/>
  </r>
  <r>
    <x v="1"/>
    <s v="denver_potable_water_deliveries"/>
    <x v="21"/>
    <n v="3.8540000000000001"/>
  </r>
  <r>
    <x v="1"/>
    <s v="denver_potable_water_deliveries"/>
    <x v="22"/>
    <n v="3.0910000000000002"/>
  </r>
  <r>
    <x v="1"/>
    <s v="denver_potable_water_deliveries"/>
    <x v="23"/>
    <n v="3.08"/>
  </r>
  <r>
    <x v="1"/>
    <s v="denver_potable_water_deliveries"/>
    <x v="24"/>
    <n v="3.9449999999999998"/>
  </r>
  <r>
    <x v="1"/>
    <s v="denver_potable_water_deliveries"/>
    <x v="25"/>
    <n v="4.0380000000000003"/>
  </r>
  <r>
    <x v="1"/>
    <s v="denver_potable_water_deliveries"/>
    <x v="26"/>
    <n v="3.9590000000000001"/>
  </r>
  <r>
    <x v="1"/>
    <s v="denver_potable_water_deliveries"/>
    <x v="27"/>
    <n v="1.819"/>
  </r>
  <r>
    <x v="1"/>
    <s v="denver_potable_water_deliveries"/>
    <x v="28"/>
    <n v="3.7890000000000001"/>
  </r>
  <r>
    <x v="1"/>
    <s v="denver_potable_water_deliveries"/>
    <x v="29"/>
    <n v="2.552"/>
  </r>
  <r>
    <x v="1"/>
    <s v="denver_potable_water_deliveries"/>
    <x v="30"/>
    <n v="2.137"/>
  </r>
  <r>
    <x v="1"/>
    <s v="denver_potable_water_deliveries"/>
    <x v="31"/>
    <n v="3.875"/>
  </r>
  <r>
    <x v="2"/>
    <s v="northern_potable_water_deliveries"/>
    <x v="0"/>
    <n v="4.8029999999999999"/>
  </r>
  <r>
    <x v="2"/>
    <s v="northern_potable_water_deliveries"/>
    <x v="1"/>
    <n v="4.7839999999999998"/>
  </r>
  <r>
    <x v="2"/>
    <s v="northern_potable_water_deliveries"/>
    <x v="2"/>
    <n v="4.5739999999999998"/>
  </r>
  <r>
    <x v="2"/>
    <s v="northern_potable_water_deliveries"/>
    <x v="3"/>
    <n v="4.5430000000000001"/>
  </r>
  <r>
    <x v="2"/>
    <s v="northern_potable_water_deliveries"/>
    <x v="4"/>
    <n v="4.4219999999999997"/>
  </r>
  <r>
    <x v="2"/>
    <s v="northern_potable_water_deliveries"/>
    <x v="5"/>
    <n v="4.68"/>
  </r>
  <r>
    <x v="2"/>
    <s v="northern_potable_water_deliveries"/>
    <x v="6"/>
    <n v="4.6360000000000001"/>
  </r>
  <r>
    <x v="2"/>
    <s v="northern_potable_water_deliveries"/>
    <x v="7"/>
    <n v="4.8410000000000002"/>
  </r>
  <r>
    <x v="2"/>
    <s v="northern_potable_water_deliveries"/>
    <x v="8"/>
    <n v="4.907"/>
  </r>
  <r>
    <x v="2"/>
    <s v="northern_potable_water_deliveries"/>
    <x v="9"/>
    <n v="3.8450000000000002"/>
  </r>
  <r>
    <x v="2"/>
    <s v="northern_potable_water_deliveries"/>
    <x v="10"/>
    <n v="2.8220000000000001"/>
  </r>
  <r>
    <x v="2"/>
    <s v="northern_potable_water_deliveries"/>
    <x v="11"/>
    <n v="1.833"/>
  </r>
  <r>
    <x v="2"/>
    <s v="northern_potable_water_deliveries"/>
    <x v="12"/>
    <n v="1.9419999999999999"/>
  </r>
  <r>
    <x v="2"/>
    <s v="northern_potable_water_deliveries"/>
    <x v="13"/>
    <n v="1.4339999999999999"/>
  </r>
  <r>
    <x v="2"/>
    <s v="northern_potable_water_deliveries"/>
    <x v="14"/>
    <n v="1.5429999999999999"/>
  </r>
  <r>
    <x v="2"/>
    <s v="northern_potable_water_deliveries"/>
    <x v="15"/>
    <n v="1.41"/>
  </r>
  <r>
    <x v="2"/>
    <s v="northern_potable_water_deliveries"/>
    <x v="16"/>
    <n v="1.573"/>
  </r>
  <r>
    <x v="2"/>
    <s v="northern_potable_water_deliveries"/>
    <x v="17"/>
    <n v="1.2629999999999999"/>
  </r>
  <r>
    <x v="2"/>
    <s v="northern_potable_water_deliveries"/>
    <x v="18"/>
    <n v="1.621"/>
  </r>
  <r>
    <x v="2"/>
    <s v="northern_potable_water_deliveries"/>
    <x v="19"/>
    <n v="1.4570000000000001"/>
  </r>
  <r>
    <x v="2"/>
    <s v="northern_potable_water_deliveries"/>
    <x v="20"/>
    <n v="2.1709999999999998"/>
  </r>
  <r>
    <x v="2"/>
    <s v="northern_potable_water_deliveries"/>
    <x v="21"/>
    <n v="1.7310000000000001"/>
  </r>
  <r>
    <x v="2"/>
    <s v="northern_potable_water_deliveries"/>
    <x v="22"/>
    <n v="1.282"/>
  </r>
  <r>
    <x v="2"/>
    <s v="northern_potable_water_deliveries"/>
    <x v="23"/>
    <n v="1.335"/>
  </r>
  <r>
    <x v="2"/>
    <s v="northern_potable_water_deliveries"/>
    <x v="24"/>
    <n v="0.72799999999999998"/>
  </r>
  <r>
    <x v="2"/>
    <s v="northern_potable_water_deliveries"/>
    <x v="25"/>
    <n v="1.0880000000000001"/>
  </r>
  <r>
    <x v="2"/>
    <s v="northern_potable_water_deliveries"/>
    <x v="26"/>
    <n v="2.3450000000000002"/>
  </r>
  <r>
    <x v="2"/>
    <s v="northern_potable_water_deliveries"/>
    <x v="27"/>
    <n v="1.9990000000000001"/>
  </r>
  <r>
    <x v="2"/>
    <s v="northern_potable_water_deliveries"/>
    <x v="28"/>
    <n v="0.79500000000000004"/>
  </r>
  <r>
    <x v="2"/>
    <s v="northern_potable_water_deliveries"/>
    <x v="29"/>
    <n v="0"/>
  </r>
  <r>
    <x v="2"/>
    <s v="northern_potable_water_deliveries"/>
    <x v="30"/>
    <n v="0.69199999999999995"/>
  </r>
  <r>
    <x v="2"/>
    <s v="northern_potable_water_deliveries"/>
    <x v="31"/>
    <n v="0.82099999999999995"/>
  </r>
  <r>
    <x v="3"/>
    <s v="total_reuse_water_pumped"/>
    <x v="0"/>
    <n v="0"/>
  </r>
  <r>
    <x v="3"/>
    <s v="total_reuse_water_pumped"/>
    <x v="1"/>
    <n v="0"/>
  </r>
  <r>
    <x v="3"/>
    <s v="total_reuse_water_pumped"/>
    <x v="2"/>
    <n v="0"/>
  </r>
  <r>
    <x v="3"/>
    <s v="total_reuse_water_pumped"/>
    <x v="3"/>
    <n v="0"/>
  </r>
  <r>
    <x v="3"/>
    <s v="total_reuse_water_pumped"/>
    <x v="4"/>
    <n v="0"/>
  </r>
  <r>
    <x v="3"/>
    <s v="total_reuse_water_pumped"/>
    <x v="5"/>
    <n v="1.0189999999999999"/>
  </r>
  <r>
    <x v="3"/>
    <s v="total_reuse_water_pumped"/>
    <x v="6"/>
    <n v="1.74"/>
  </r>
  <r>
    <x v="3"/>
    <s v="total_reuse_water_pumped"/>
    <x v="7"/>
    <n v="1.7230000000000001"/>
  </r>
  <r>
    <x v="3"/>
    <s v="total_reuse_water_pumped"/>
    <x v="8"/>
    <n v="1.7330000000000001"/>
  </r>
  <r>
    <x v="3"/>
    <s v="total_reuse_water_pumped"/>
    <x v="9"/>
    <n v="1.7330000000000001"/>
  </r>
  <r>
    <x v="3"/>
    <s v="total_reuse_water_pumped"/>
    <x v="10"/>
    <n v="1.7330000000000001"/>
  </r>
  <r>
    <x v="3"/>
    <s v="total_reuse_water_pumped"/>
    <x v="11"/>
    <n v="1.7350000000000001"/>
  </r>
  <r>
    <x v="3"/>
    <s v="total_reuse_water_pumped"/>
    <x v="12"/>
    <n v="1.58"/>
  </r>
  <r>
    <x v="3"/>
    <s v="total_reuse_water_pumped"/>
    <x v="13"/>
    <n v="1.2010000000000001"/>
  </r>
  <r>
    <x v="3"/>
    <s v="total_reuse_water_pumped"/>
    <x v="14"/>
    <n v="1.0680000000000001"/>
  </r>
  <r>
    <x v="3"/>
    <s v="total_reuse_water_pumped"/>
    <x v="15"/>
    <n v="1.034"/>
  </r>
  <r>
    <x v="3"/>
    <s v="total_reuse_water_pumped"/>
    <x v="16"/>
    <n v="1.024"/>
  </r>
  <r>
    <x v="3"/>
    <s v="total_reuse_water_pumped"/>
    <x v="17"/>
    <n v="0.94499999999999995"/>
  </r>
  <r>
    <x v="3"/>
    <s v="total_reuse_water_pumped"/>
    <x v="18"/>
    <n v="0.96"/>
  </r>
  <r>
    <x v="3"/>
    <s v="total_reuse_water_pumped"/>
    <x v="19"/>
    <n v="0.94799999999999995"/>
  </r>
  <r>
    <x v="3"/>
    <s v="total_reuse_water_pumped"/>
    <x v="20"/>
    <n v="0.90600000000000003"/>
  </r>
  <r>
    <x v="3"/>
    <s v="total_reuse_water_pumped"/>
    <x v="21"/>
    <n v="0.91600000000000004"/>
  </r>
  <r>
    <x v="3"/>
    <s v="total_reuse_water_pumped"/>
    <x v="22"/>
    <n v="0.44600000000000001"/>
  </r>
  <r>
    <x v="3"/>
    <s v="total_reuse_water_pumped"/>
    <x v="23"/>
    <n v="0.51200000000000001"/>
  </r>
  <r>
    <x v="3"/>
    <s v="total_reuse_water_pumped"/>
    <x v="24"/>
    <n v="0.94799999999999995"/>
  </r>
  <r>
    <x v="3"/>
    <s v="total_reuse_water_pumped"/>
    <x v="25"/>
    <n v="0.93500000000000005"/>
  </r>
  <r>
    <x v="3"/>
    <s v="total_reuse_water_pumped"/>
    <x v="26"/>
    <n v="0.433"/>
  </r>
  <r>
    <x v="3"/>
    <s v="total_reuse_water_pumped"/>
    <x v="27"/>
    <n v="0"/>
  </r>
  <r>
    <x v="3"/>
    <s v="total_reuse_water_pumped"/>
    <x v="28"/>
    <n v="0.54400000000000004"/>
  </r>
  <r>
    <x v="3"/>
    <s v="total_reuse_water_pumped"/>
    <x v="29"/>
    <n v="0"/>
  </r>
  <r>
    <x v="3"/>
    <s v="total_reuse_water_pumped"/>
    <x v="30"/>
    <n v="0"/>
  </r>
  <r>
    <x v="3"/>
    <s v="total_reuse_water_pumped"/>
    <x v="31"/>
    <n v="0"/>
  </r>
  <r>
    <x v="4"/>
    <s v="direct_flow_right_1998"/>
    <x v="0"/>
    <n v="0"/>
  </r>
  <r>
    <x v="4"/>
    <s v="direct_flow_right_1998"/>
    <x v="1"/>
    <n v="0"/>
  </r>
  <r>
    <x v="4"/>
    <s v="direct_flow_right_1998"/>
    <x v="2"/>
    <n v="0"/>
  </r>
  <r>
    <x v="4"/>
    <s v="direct_flow_right_1998"/>
    <x v="3"/>
    <n v="0"/>
  </r>
  <r>
    <x v="4"/>
    <s v="direct_flow_right_1998"/>
    <x v="4"/>
    <n v="0"/>
  </r>
  <r>
    <x v="4"/>
    <s v="direct_flow_right_1998"/>
    <x v="5"/>
    <n v="0"/>
  </r>
  <r>
    <x v="4"/>
    <s v="direct_flow_right_1998"/>
    <x v="6"/>
    <n v="0"/>
  </r>
  <r>
    <x v="4"/>
    <s v="direct_flow_right_1998"/>
    <x v="7"/>
    <n v="0"/>
  </r>
  <r>
    <x v="4"/>
    <s v="direct_flow_right_1998"/>
    <x v="8"/>
    <n v="0"/>
  </r>
  <r>
    <x v="4"/>
    <s v="direct_flow_right_1998"/>
    <x v="9"/>
    <n v="0"/>
  </r>
  <r>
    <x v="4"/>
    <s v="direct_flow_right_1998"/>
    <x v="10"/>
    <n v="0"/>
  </r>
  <r>
    <x v="4"/>
    <s v="direct_flow_right_1998"/>
    <x v="11"/>
    <n v="0"/>
  </r>
  <r>
    <x v="4"/>
    <s v="direct_flow_right_1998"/>
    <x v="12"/>
    <n v="0"/>
  </r>
  <r>
    <x v="4"/>
    <s v="direct_flow_right_1998"/>
    <x v="13"/>
    <n v="0"/>
  </r>
  <r>
    <x v="4"/>
    <s v="direct_flow_right_1998"/>
    <x v="14"/>
    <n v="0"/>
  </r>
  <r>
    <x v="4"/>
    <s v="direct_flow_right_1998"/>
    <x v="15"/>
    <n v="0"/>
  </r>
  <r>
    <x v="4"/>
    <s v="direct_flow_right_1998"/>
    <x v="16"/>
    <n v="0"/>
  </r>
  <r>
    <x v="4"/>
    <s v="direct_flow_right_1998"/>
    <x v="17"/>
    <n v="0"/>
  </r>
  <r>
    <x v="4"/>
    <s v="direct_flow_right_1998"/>
    <x v="18"/>
    <n v="0"/>
  </r>
  <r>
    <x v="4"/>
    <s v="direct_flow_right_1998"/>
    <x v="19"/>
    <n v="0"/>
  </r>
  <r>
    <x v="4"/>
    <s v="direct_flow_right_1998"/>
    <x v="20"/>
    <n v="0"/>
  </r>
  <r>
    <x v="4"/>
    <s v="direct_flow_right_1998"/>
    <x v="21"/>
    <n v="0"/>
  </r>
  <r>
    <x v="4"/>
    <s v="direct_flow_right_1998"/>
    <x v="22"/>
    <n v="0"/>
  </r>
  <r>
    <x v="4"/>
    <s v="direct_flow_right_1998"/>
    <x v="23"/>
    <n v="0"/>
  </r>
  <r>
    <x v="4"/>
    <s v="direct_flow_right_1998"/>
    <x v="24"/>
    <n v="0"/>
  </r>
  <r>
    <x v="4"/>
    <s v="direct_flow_right_1998"/>
    <x v="25"/>
    <n v="0"/>
  </r>
  <r>
    <x v="4"/>
    <s v="direct_flow_right_1998"/>
    <x v="26"/>
    <n v="0"/>
  </r>
  <r>
    <x v="4"/>
    <s v="direct_flow_right_1998"/>
    <x v="27"/>
    <n v="0"/>
  </r>
  <r>
    <x v="4"/>
    <s v="direct_flow_right_1998"/>
    <x v="28"/>
    <n v="0"/>
  </r>
  <r>
    <x v="4"/>
    <s v="direct_flow_right_1998"/>
    <x v="29"/>
    <n v="0"/>
  </r>
  <r>
    <x v="4"/>
    <s v="direct_flow_right_1998"/>
    <x v="30"/>
    <n v="0"/>
  </r>
  <r>
    <x v="4"/>
    <s v="direct_flow_right_1998"/>
    <x v="31"/>
    <n v="0"/>
  </r>
  <r>
    <x v="5"/>
    <s v="direct_flow_right_1977"/>
    <x v="0"/>
    <n v="0"/>
  </r>
  <r>
    <x v="5"/>
    <s v="direct_flow_right_1977"/>
    <x v="1"/>
    <n v="0"/>
  </r>
  <r>
    <x v="5"/>
    <s v="direct_flow_right_1977"/>
    <x v="2"/>
    <n v="0"/>
  </r>
  <r>
    <x v="5"/>
    <s v="direct_flow_right_1977"/>
    <x v="3"/>
    <n v="0"/>
  </r>
  <r>
    <x v="5"/>
    <s v="direct_flow_right_1977"/>
    <x v="4"/>
    <n v="0"/>
  </r>
  <r>
    <x v="5"/>
    <s v="direct_flow_right_1977"/>
    <x v="5"/>
    <n v="0"/>
  </r>
  <r>
    <x v="5"/>
    <s v="direct_flow_right_1977"/>
    <x v="6"/>
    <n v="0"/>
  </r>
  <r>
    <x v="5"/>
    <s v="direct_flow_right_1977"/>
    <x v="7"/>
    <n v="0"/>
  </r>
  <r>
    <x v="5"/>
    <s v="direct_flow_right_1977"/>
    <x v="8"/>
    <n v="0"/>
  </r>
  <r>
    <x v="5"/>
    <s v="direct_flow_right_1977"/>
    <x v="9"/>
    <n v="0"/>
  </r>
  <r>
    <x v="5"/>
    <s v="direct_flow_right_1977"/>
    <x v="10"/>
    <n v="0"/>
  </r>
  <r>
    <x v="5"/>
    <s v="direct_flow_right_1977"/>
    <x v="11"/>
    <n v="0"/>
  </r>
  <r>
    <x v="5"/>
    <s v="direct_flow_right_1977"/>
    <x v="12"/>
    <n v="0"/>
  </r>
  <r>
    <x v="5"/>
    <s v="direct_flow_right_1977"/>
    <x v="13"/>
    <n v="0"/>
  </r>
  <r>
    <x v="5"/>
    <s v="direct_flow_right_1977"/>
    <x v="14"/>
    <n v="0"/>
  </r>
  <r>
    <x v="5"/>
    <s v="direct_flow_right_1977"/>
    <x v="15"/>
    <n v="0"/>
  </r>
  <r>
    <x v="5"/>
    <s v="direct_flow_right_1977"/>
    <x v="16"/>
    <n v="0"/>
  </r>
  <r>
    <x v="5"/>
    <s v="direct_flow_right_1977"/>
    <x v="17"/>
    <n v="0"/>
  </r>
  <r>
    <x v="5"/>
    <s v="direct_flow_right_1977"/>
    <x v="18"/>
    <n v="0"/>
  </r>
  <r>
    <x v="5"/>
    <s v="direct_flow_right_1977"/>
    <x v="19"/>
    <n v="0"/>
  </r>
  <r>
    <x v="5"/>
    <s v="direct_flow_right_1977"/>
    <x v="20"/>
    <n v="0"/>
  </r>
  <r>
    <x v="5"/>
    <s v="direct_flow_right_1977"/>
    <x v="21"/>
    <n v="0"/>
  </r>
  <r>
    <x v="5"/>
    <s v="direct_flow_right_1977"/>
    <x v="22"/>
    <n v="0"/>
  </r>
  <r>
    <x v="5"/>
    <s v="direct_flow_right_1977"/>
    <x v="23"/>
    <n v="0"/>
  </r>
  <r>
    <x v="5"/>
    <s v="direct_flow_right_1977"/>
    <x v="24"/>
    <n v="0"/>
  </r>
  <r>
    <x v="5"/>
    <s v="direct_flow_right_1977"/>
    <x v="25"/>
    <n v="0"/>
  </r>
  <r>
    <x v="5"/>
    <s v="direct_flow_right_1977"/>
    <x v="26"/>
    <n v="0"/>
  </r>
  <r>
    <x v="5"/>
    <s v="direct_flow_right_1977"/>
    <x v="27"/>
    <n v="0"/>
  </r>
  <r>
    <x v="5"/>
    <s v="direct_flow_right_1977"/>
    <x v="28"/>
    <n v="0"/>
  </r>
  <r>
    <x v="5"/>
    <s v="direct_flow_right_1977"/>
    <x v="29"/>
    <n v="0"/>
  </r>
  <r>
    <x v="5"/>
    <s v="direct_flow_right_1977"/>
    <x v="30"/>
    <n v="0"/>
  </r>
  <r>
    <x v="5"/>
    <s v="direct_flow_right_1977"/>
    <x v="31"/>
    <n v="0"/>
  </r>
  <r>
    <x v="6"/>
    <s v="windy_gap_effluent"/>
    <x v="0"/>
    <n v="0"/>
  </r>
  <r>
    <x v="6"/>
    <s v="windy_gap_effluent"/>
    <x v="1"/>
    <n v="0"/>
  </r>
  <r>
    <x v="6"/>
    <s v="windy_gap_effluent"/>
    <x v="2"/>
    <n v="0"/>
  </r>
  <r>
    <x v="6"/>
    <s v="windy_gap_effluent"/>
    <x v="3"/>
    <n v="0"/>
  </r>
  <r>
    <x v="6"/>
    <s v="windy_gap_effluent"/>
    <x v="4"/>
    <n v="0"/>
  </r>
  <r>
    <x v="6"/>
    <s v="windy_gap_effluent"/>
    <x v="5"/>
    <n v="3.13"/>
  </r>
  <r>
    <x v="6"/>
    <s v="windy_gap_effluent"/>
    <x v="6"/>
    <n v="5.34"/>
  </r>
  <r>
    <x v="6"/>
    <s v="windy_gap_effluent"/>
    <x v="7"/>
    <n v="5.29"/>
  </r>
  <r>
    <x v="6"/>
    <s v="windy_gap_effluent"/>
    <x v="8"/>
    <n v="5.32"/>
  </r>
  <r>
    <x v="6"/>
    <s v="windy_gap_effluent"/>
    <x v="9"/>
    <n v="5.32"/>
  </r>
  <r>
    <x v="6"/>
    <s v="windy_gap_effluent"/>
    <x v="10"/>
    <n v="5.32"/>
  </r>
  <r>
    <x v="6"/>
    <s v="windy_gap_effluent"/>
    <x v="11"/>
    <n v="5.0199999999999996"/>
  </r>
  <r>
    <x v="6"/>
    <s v="windy_gap_effluent"/>
    <x v="12"/>
    <n v="3.26"/>
  </r>
  <r>
    <x v="6"/>
    <s v="windy_gap_effluent"/>
    <x v="13"/>
    <n v="3.46"/>
  </r>
  <r>
    <x v="6"/>
    <s v="windy_gap_effluent"/>
    <x v="14"/>
    <n v="2.5499999999999998"/>
  </r>
  <r>
    <x v="6"/>
    <s v="windy_gap_effluent"/>
    <x v="15"/>
    <n v="2.75"/>
  </r>
  <r>
    <x v="6"/>
    <s v="windy_gap_effluent"/>
    <x v="16"/>
    <n v="2.5099999999999998"/>
  </r>
  <r>
    <x v="6"/>
    <s v="windy_gap_effluent"/>
    <x v="17"/>
    <n v="2.8"/>
  </r>
  <r>
    <x v="6"/>
    <s v="windy_gap_effluent"/>
    <x v="18"/>
    <n v="2.25"/>
  </r>
  <r>
    <x v="6"/>
    <s v="windy_gap_effluent"/>
    <x v="19"/>
    <n v="2.89"/>
  </r>
  <r>
    <x v="6"/>
    <s v="windy_gap_effluent"/>
    <x v="20"/>
    <n v="2.59"/>
  </r>
  <r>
    <x v="6"/>
    <s v="windy_gap_effluent"/>
    <x v="21"/>
    <n v="2.81"/>
  </r>
  <r>
    <x v="6"/>
    <s v="windy_gap_effluent"/>
    <x v="22"/>
    <n v="1.37"/>
  </r>
  <r>
    <x v="6"/>
    <s v="windy_gap_effluent"/>
    <x v="23"/>
    <n v="1.57"/>
  </r>
  <r>
    <x v="6"/>
    <s v="windy_gap_effluent"/>
    <x v="24"/>
    <n v="2.38"/>
  </r>
  <r>
    <x v="6"/>
    <s v="windy_gap_effluent"/>
    <x v="25"/>
    <n v="1.3"/>
  </r>
  <r>
    <x v="6"/>
    <s v="windy_gap_effluent"/>
    <x v="26"/>
    <n v="1.33"/>
  </r>
  <r>
    <x v="6"/>
    <s v="windy_gap_effluent"/>
    <x v="27"/>
    <n v="0"/>
  </r>
  <r>
    <x v="6"/>
    <s v="windy_gap_effluent"/>
    <x v="28"/>
    <n v="1.67"/>
  </r>
  <r>
    <x v="6"/>
    <s v="windy_gap_effluent"/>
    <x v="29"/>
    <n v="0"/>
  </r>
  <r>
    <x v="6"/>
    <s v="windy_gap_effluent"/>
    <x v="30"/>
    <n v="0"/>
  </r>
  <r>
    <x v="6"/>
    <s v="windy_gap_effluent"/>
    <x v="31"/>
    <n v="0"/>
  </r>
  <r>
    <x v="7"/>
    <s v="consolidated_mutual"/>
    <x v="0"/>
    <n v="0"/>
  </r>
  <r>
    <x v="7"/>
    <s v="consolidated_mutual"/>
    <x v="1"/>
    <n v="0"/>
  </r>
  <r>
    <x v="7"/>
    <s v="consolidated_mutual"/>
    <x v="2"/>
    <n v="0"/>
  </r>
  <r>
    <x v="7"/>
    <s v="consolidated_mutual"/>
    <x v="3"/>
    <n v="0"/>
  </r>
  <r>
    <x v="7"/>
    <s v="consolidated_mutual"/>
    <x v="4"/>
    <n v="0"/>
  </r>
  <r>
    <x v="7"/>
    <s v="consolidated_mutual"/>
    <x v="5"/>
    <n v="0"/>
  </r>
  <r>
    <x v="7"/>
    <s v="consolidated_mutual"/>
    <x v="6"/>
    <n v="0"/>
  </r>
  <r>
    <x v="7"/>
    <s v="consolidated_mutual"/>
    <x v="7"/>
    <n v="0"/>
  </r>
  <r>
    <x v="7"/>
    <s v="consolidated_mutual"/>
    <x v="8"/>
    <n v="0"/>
  </r>
  <r>
    <x v="7"/>
    <s v="consolidated_mutual"/>
    <x v="9"/>
    <n v="0"/>
  </r>
  <r>
    <x v="7"/>
    <s v="consolidated_mutual"/>
    <x v="10"/>
    <n v="0"/>
  </r>
  <r>
    <x v="7"/>
    <s v="consolidated_mutual"/>
    <x v="11"/>
    <n v="0"/>
  </r>
  <r>
    <x v="7"/>
    <s v="consolidated_mutual"/>
    <x v="12"/>
    <n v="0"/>
  </r>
  <r>
    <x v="7"/>
    <s v="consolidated_mutual"/>
    <x v="13"/>
    <n v="0"/>
  </r>
  <r>
    <x v="7"/>
    <s v="consolidated_mutual"/>
    <x v="14"/>
    <n v="0"/>
  </r>
  <r>
    <x v="7"/>
    <s v="consolidated_mutual"/>
    <x v="15"/>
    <n v="0"/>
  </r>
  <r>
    <x v="7"/>
    <s v="consolidated_mutual"/>
    <x v="16"/>
    <n v="0"/>
  </r>
  <r>
    <x v="7"/>
    <s v="consolidated_mutual"/>
    <x v="17"/>
    <n v="0"/>
  </r>
  <r>
    <x v="7"/>
    <s v="consolidated_mutual"/>
    <x v="18"/>
    <n v="0"/>
  </r>
  <r>
    <x v="7"/>
    <s v="consolidated_mutual"/>
    <x v="19"/>
    <n v="0"/>
  </r>
  <r>
    <x v="7"/>
    <s v="consolidated_mutual"/>
    <x v="20"/>
    <n v="0"/>
  </r>
  <r>
    <x v="7"/>
    <s v="consolidated_mutual"/>
    <x v="21"/>
    <n v="0"/>
  </r>
  <r>
    <x v="7"/>
    <s v="consolidated_mutual"/>
    <x v="22"/>
    <n v="0"/>
  </r>
  <r>
    <x v="7"/>
    <s v="consolidated_mutual"/>
    <x v="23"/>
    <n v="0"/>
  </r>
  <r>
    <x v="7"/>
    <s v="consolidated_mutual"/>
    <x v="24"/>
    <n v="0"/>
  </r>
  <r>
    <x v="7"/>
    <s v="consolidated_mutual"/>
    <x v="25"/>
    <n v="0"/>
  </r>
  <r>
    <x v="7"/>
    <s v="consolidated_mutual"/>
    <x v="26"/>
    <n v="0"/>
  </r>
  <r>
    <x v="7"/>
    <s v="consolidated_mutual"/>
    <x v="27"/>
    <n v="0"/>
  </r>
  <r>
    <x v="7"/>
    <s v="consolidated_mutual"/>
    <x v="28"/>
    <n v="0"/>
  </r>
  <r>
    <x v="7"/>
    <s v="consolidated_mutual"/>
    <x v="29"/>
    <n v="0"/>
  </r>
  <r>
    <x v="7"/>
    <s v="consolidated_mutual"/>
    <x v="30"/>
    <n v="0"/>
  </r>
  <r>
    <x v="7"/>
    <s v="consolidated_mutual"/>
    <x v="31"/>
    <n v="0"/>
  </r>
  <r>
    <x v="8"/>
    <s v="other_sources"/>
    <x v="0"/>
    <n v="0"/>
  </r>
  <r>
    <x v="8"/>
    <s v="other_sources"/>
    <x v="1"/>
    <n v="0"/>
  </r>
  <r>
    <x v="8"/>
    <s v="other_sources"/>
    <x v="2"/>
    <n v="0"/>
  </r>
  <r>
    <x v="8"/>
    <s v="other_sources"/>
    <x v="3"/>
    <n v="0"/>
  </r>
  <r>
    <x v="8"/>
    <s v="other_sources"/>
    <x v="4"/>
    <n v="0"/>
  </r>
  <r>
    <x v="8"/>
    <s v="other_sources"/>
    <x v="5"/>
    <n v="0"/>
  </r>
  <r>
    <x v="8"/>
    <s v="other_sources"/>
    <x v="6"/>
    <n v="0"/>
  </r>
  <r>
    <x v="8"/>
    <s v="other_sources"/>
    <x v="7"/>
    <n v="0"/>
  </r>
  <r>
    <x v="8"/>
    <s v="other_sources"/>
    <x v="8"/>
    <n v="0"/>
  </r>
  <r>
    <x v="8"/>
    <s v="other_sources"/>
    <x v="9"/>
    <n v="0"/>
  </r>
  <r>
    <x v="8"/>
    <s v="other_sources"/>
    <x v="10"/>
    <n v="0"/>
  </r>
  <r>
    <x v="8"/>
    <s v="other_sources"/>
    <x v="11"/>
    <n v="0"/>
  </r>
  <r>
    <x v="8"/>
    <s v="other_sources"/>
    <x v="12"/>
    <n v="0"/>
  </r>
  <r>
    <x v="8"/>
    <s v="other_sources"/>
    <x v="13"/>
    <n v="0"/>
  </r>
  <r>
    <x v="8"/>
    <s v="other_sources"/>
    <x v="14"/>
    <n v="0"/>
  </r>
  <r>
    <x v="8"/>
    <s v="other_sources"/>
    <x v="15"/>
    <n v="0"/>
  </r>
  <r>
    <x v="8"/>
    <s v="other_sources"/>
    <x v="16"/>
    <n v="0"/>
  </r>
  <r>
    <x v="8"/>
    <s v="other_sources"/>
    <x v="17"/>
    <n v="0"/>
  </r>
  <r>
    <x v="8"/>
    <s v="other_sources"/>
    <x v="18"/>
    <n v="0"/>
  </r>
  <r>
    <x v="8"/>
    <s v="other_sources"/>
    <x v="19"/>
    <n v="0"/>
  </r>
  <r>
    <x v="8"/>
    <s v="other_sources"/>
    <x v="20"/>
    <n v="0"/>
  </r>
  <r>
    <x v="8"/>
    <s v="other_sources"/>
    <x v="21"/>
    <n v="0"/>
  </r>
  <r>
    <x v="8"/>
    <s v="other_sources"/>
    <x v="22"/>
    <n v="0"/>
  </r>
  <r>
    <x v="8"/>
    <s v="other_sources"/>
    <x v="23"/>
    <n v="0"/>
  </r>
  <r>
    <x v="8"/>
    <s v="other_sources"/>
    <x v="24"/>
    <n v="0"/>
  </r>
  <r>
    <x v="8"/>
    <s v="other_sources"/>
    <x v="25"/>
    <n v="0"/>
  </r>
  <r>
    <x v="8"/>
    <s v="other_sources"/>
    <x v="26"/>
    <n v="0"/>
  </r>
  <r>
    <x v="8"/>
    <s v="other_sources"/>
    <x v="27"/>
    <n v="0"/>
  </r>
  <r>
    <x v="8"/>
    <s v="other_sources"/>
    <x v="28"/>
    <n v="0"/>
  </r>
  <r>
    <x v="8"/>
    <s v="other_sources"/>
    <x v="29"/>
    <n v="0"/>
  </r>
  <r>
    <x v="8"/>
    <s v="other_sources"/>
    <x v="30"/>
    <n v="0"/>
  </r>
  <r>
    <x v="8"/>
    <s v="other_sources"/>
    <x v="31"/>
    <n v="0"/>
  </r>
  <r>
    <x v="9"/>
    <s v="other_augmentation_sources"/>
    <x v="0"/>
    <n v="0"/>
  </r>
  <r>
    <x v="9"/>
    <s v="other_augmentation_sources"/>
    <x v="1"/>
    <n v="0.13400000000000001"/>
  </r>
  <r>
    <x v="9"/>
    <s v="other_augmentation_sources"/>
    <x v="2"/>
    <n v="0.13400000000000001"/>
  </r>
  <r>
    <x v="9"/>
    <s v="other_augmentation_sources"/>
    <x v="3"/>
    <n v="0.13400000000000001"/>
  </r>
  <r>
    <x v="9"/>
    <s v="other_augmentation_sources"/>
    <x v="4"/>
    <n v="0.13400000000000001"/>
  </r>
  <r>
    <x v="9"/>
    <s v="other_augmentation_sources"/>
    <x v="5"/>
    <n v="0.13400000000000001"/>
  </r>
  <r>
    <x v="9"/>
    <s v="other_augmentation_sources"/>
    <x v="6"/>
    <n v="0.13400000000000001"/>
  </r>
  <r>
    <x v="9"/>
    <s v="other_augmentation_sources"/>
    <x v="7"/>
    <n v="0.13400000000000001"/>
  </r>
  <r>
    <x v="9"/>
    <s v="other_augmentation_sources"/>
    <x v="8"/>
    <n v="0.13400000000000001"/>
  </r>
  <r>
    <x v="9"/>
    <s v="other_augmentation_sources"/>
    <x v="9"/>
    <n v="0.13400000000000001"/>
  </r>
  <r>
    <x v="9"/>
    <s v="other_augmentation_sources"/>
    <x v="10"/>
    <n v="0.13400000000000001"/>
  </r>
  <r>
    <x v="9"/>
    <s v="other_augmentation_sources"/>
    <x v="11"/>
    <n v="0.13400000000000001"/>
  </r>
  <r>
    <x v="9"/>
    <s v="other_augmentation_sources"/>
    <x v="12"/>
    <n v="0.13500000000000001"/>
  </r>
  <r>
    <x v="9"/>
    <s v="other_augmentation_sources"/>
    <x v="13"/>
    <n v="0.13500000000000001"/>
  </r>
  <r>
    <x v="9"/>
    <s v="other_augmentation_sources"/>
    <x v="14"/>
    <n v="0.13500000000000001"/>
  </r>
  <r>
    <x v="9"/>
    <s v="other_augmentation_sources"/>
    <x v="15"/>
    <n v="0.13500000000000001"/>
  </r>
  <r>
    <x v="9"/>
    <s v="other_augmentation_sources"/>
    <x v="16"/>
    <n v="0.13400000000000001"/>
  </r>
  <r>
    <x v="9"/>
    <s v="other_augmentation_sources"/>
    <x v="17"/>
    <n v="0.13400000000000001"/>
  </r>
  <r>
    <x v="9"/>
    <s v="other_augmentation_sources"/>
    <x v="18"/>
    <n v="0.13400000000000001"/>
  </r>
  <r>
    <x v="9"/>
    <s v="other_augmentation_sources"/>
    <x v="19"/>
    <n v="0.13400000000000001"/>
  </r>
  <r>
    <x v="9"/>
    <s v="other_augmentation_sources"/>
    <x v="20"/>
    <n v="0.13400000000000001"/>
  </r>
  <r>
    <x v="9"/>
    <s v="other_augmentation_sources"/>
    <x v="21"/>
    <n v="0.13400000000000001"/>
  </r>
  <r>
    <x v="9"/>
    <s v="other_augmentation_sources"/>
    <x v="22"/>
    <n v="0.13400000000000001"/>
  </r>
  <r>
    <x v="9"/>
    <s v="other_augmentation_sources"/>
    <x v="23"/>
    <n v="0.13400000000000001"/>
  </r>
  <r>
    <x v="9"/>
    <s v="other_augmentation_sources"/>
    <x v="24"/>
    <n v="0.13400000000000001"/>
  </r>
  <r>
    <x v="9"/>
    <s v="other_augmentation_sources"/>
    <x v="25"/>
    <n v="0.13400000000000001"/>
  </r>
  <r>
    <x v="9"/>
    <s v="other_augmentation_sources"/>
    <x v="26"/>
    <n v="0.13500000000000001"/>
  </r>
  <r>
    <x v="9"/>
    <s v="other_augmentation_sources"/>
    <x v="27"/>
    <n v="0.13500000000000001"/>
  </r>
  <r>
    <x v="9"/>
    <s v="other_augmentation_sources"/>
    <x v="28"/>
    <n v="1.64"/>
  </r>
  <r>
    <x v="9"/>
    <s v="other_augmentation_sources"/>
    <x v="29"/>
    <n v="0.14000000000000001"/>
  </r>
  <r>
    <x v="9"/>
    <s v="other_augmentation_sources"/>
    <x v="30"/>
    <n v="0.13500000000000001"/>
  </r>
  <r>
    <x v="9"/>
    <s v="other_augmentation_sources"/>
    <x v="31"/>
    <n v="0.13500000000000001"/>
  </r>
  <r>
    <x v="10"/>
    <s v="aug_releases_windy_gap_eff_to_bdc"/>
    <x v="0"/>
    <n v="0"/>
  </r>
  <r>
    <x v="10"/>
    <s v="aug_releases_windy_gap_eff_to_bdc"/>
    <x v="1"/>
    <n v="0.13400000000000001"/>
  </r>
  <r>
    <x v="10"/>
    <s v="aug_releases_windy_gap_eff_to_bdc"/>
    <x v="2"/>
    <n v="0.13400000000000001"/>
  </r>
  <r>
    <x v="10"/>
    <s v="aug_releases_windy_gap_eff_to_bdc"/>
    <x v="3"/>
    <n v="0.13400000000000001"/>
  </r>
  <r>
    <x v="10"/>
    <s v="aug_releases_windy_gap_eff_to_bdc"/>
    <x v="4"/>
    <n v="0.13400000000000001"/>
  </r>
  <r>
    <x v="10"/>
    <s v="aug_releases_windy_gap_eff_to_bdc"/>
    <x v="5"/>
    <n v="4.26"/>
  </r>
  <r>
    <x v="10"/>
    <s v="aug_releases_windy_gap_eff_to_bdc"/>
    <x v="6"/>
    <n v="0.13"/>
  </r>
  <r>
    <x v="10"/>
    <s v="aug_releases_windy_gap_eff_to_bdc"/>
    <x v="7"/>
    <n v="0.13"/>
  </r>
  <r>
    <x v="10"/>
    <s v="aug_releases_windy_gap_eff_to_bdc"/>
    <x v="8"/>
    <n v="1.1299999999999999"/>
  </r>
  <r>
    <x v="10"/>
    <s v="aug_releases_windy_gap_eff_to_bdc"/>
    <x v="9"/>
    <n v="1.2"/>
  </r>
  <r>
    <x v="10"/>
    <s v="aug_releases_windy_gap_eff_to_bdc"/>
    <x v="10"/>
    <n v="0.59"/>
  </r>
  <r>
    <x v="10"/>
    <s v="aug_releases_windy_gap_eff_to_bdc"/>
    <x v="11"/>
    <n v="0"/>
  </r>
  <r>
    <x v="10"/>
    <s v="aug_releases_windy_gap_eff_to_bdc"/>
    <x v="12"/>
    <n v="0"/>
  </r>
  <r>
    <x v="10"/>
    <s v="aug_releases_windy_gap_eff_to_bdc"/>
    <x v="13"/>
    <n v="0"/>
  </r>
  <r>
    <x v="10"/>
    <s v="aug_releases_windy_gap_eff_to_bdc"/>
    <x v="14"/>
    <n v="0"/>
  </r>
  <r>
    <x v="10"/>
    <s v="aug_releases_windy_gap_eff_to_bdc"/>
    <x v="15"/>
    <n v="0"/>
  </r>
  <r>
    <x v="10"/>
    <s v="aug_releases_windy_gap_eff_to_bdc"/>
    <x v="16"/>
    <n v="0"/>
  </r>
  <r>
    <x v="10"/>
    <s v="aug_releases_windy_gap_eff_to_bdc"/>
    <x v="17"/>
    <n v="0"/>
  </r>
  <r>
    <x v="10"/>
    <s v="aug_releases_windy_gap_eff_to_bdc"/>
    <x v="18"/>
    <n v="0"/>
  </r>
  <r>
    <x v="10"/>
    <s v="aug_releases_windy_gap_eff_to_bdc"/>
    <x v="19"/>
    <n v="0"/>
  </r>
  <r>
    <x v="10"/>
    <s v="aug_releases_windy_gap_eff_to_bdc"/>
    <x v="20"/>
    <n v="0"/>
  </r>
  <r>
    <x v="10"/>
    <s v="aug_releases_windy_gap_eff_to_bdc"/>
    <x v="21"/>
    <n v="0.5"/>
  </r>
  <r>
    <x v="10"/>
    <s v="aug_releases_windy_gap_eff_to_bdc"/>
    <x v="22"/>
    <n v="1.5"/>
  </r>
  <r>
    <x v="10"/>
    <s v="aug_releases_windy_gap_eff_to_bdc"/>
    <x v="23"/>
    <n v="0.5"/>
  </r>
  <r>
    <x v="10"/>
    <s v="aug_releases_windy_gap_eff_to_bdc"/>
    <x v="24"/>
    <n v="0"/>
  </r>
  <r>
    <x v="10"/>
    <s v="aug_releases_windy_gap_eff_to_bdc"/>
    <x v="25"/>
    <n v="0"/>
  </r>
  <r>
    <x v="10"/>
    <s v="aug_releases_windy_gap_eff_to_bdc"/>
    <x v="26"/>
    <n v="0.5"/>
  </r>
  <r>
    <x v="10"/>
    <s v="aug_releases_windy_gap_eff_to_bdc"/>
    <x v="27"/>
    <n v="0.21"/>
  </r>
  <r>
    <x v="10"/>
    <s v="aug_releases_windy_gap_eff_to_bdc"/>
    <x v="28"/>
    <n v="1.5"/>
  </r>
  <r>
    <x v="10"/>
    <s v="aug_releases_windy_gap_eff_to_bdc"/>
    <x v="29"/>
    <n v="0"/>
  </r>
  <r>
    <x v="10"/>
    <s v="aug_releases_windy_gap_eff_to_bdc"/>
    <x v="30"/>
    <n v="0"/>
  </r>
  <r>
    <x v="10"/>
    <s v="aug_releases_windy_gap_eff_to_bdc"/>
    <x v="31"/>
    <n v="0"/>
  </r>
  <r>
    <x v="11"/>
    <s v="estimated_raw_wg_deliveries"/>
    <x v="0"/>
    <n v="0"/>
  </r>
  <r>
    <x v="11"/>
    <s v="estimated_raw_wg_deliveries"/>
    <x v="1"/>
    <n v="0"/>
  </r>
  <r>
    <x v="11"/>
    <s v="estimated_raw_wg_deliveries"/>
    <x v="2"/>
    <n v="0"/>
  </r>
  <r>
    <x v="11"/>
    <s v="estimated_raw_wg_deliveries"/>
    <x v="3"/>
    <n v="0"/>
  </r>
  <r>
    <x v="11"/>
    <s v="estimated_raw_wg_deliveries"/>
    <x v="4"/>
    <n v="0"/>
  </r>
  <r>
    <x v="11"/>
    <s v="estimated_raw_wg_deliveries"/>
    <x v="5"/>
    <n v="0"/>
  </r>
  <r>
    <x v="11"/>
    <s v="estimated_raw_wg_deliveries"/>
    <x v="6"/>
    <n v="0"/>
  </r>
  <r>
    <x v="11"/>
    <s v="estimated_raw_wg_deliveries"/>
    <x v="7"/>
    <n v="0"/>
  </r>
  <r>
    <x v="11"/>
    <s v="estimated_raw_wg_deliveries"/>
    <x v="8"/>
    <n v="0"/>
  </r>
  <r>
    <x v="11"/>
    <s v="estimated_raw_wg_deliveries"/>
    <x v="9"/>
    <n v="0"/>
  </r>
  <r>
    <x v="11"/>
    <s v="estimated_raw_wg_deliveries"/>
    <x v="10"/>
    <n v="0"/>
  </r>
  <r>
    <x v="11"/>
    <s v="estimated_raw_wg_deliveries"/>
    <x v="11"/>
    <n v="0"/>
  </r>
  <r>
    <x v="11"/>
    <s v="estimated_raw_wg_deliveries"/>
    <x v="12"/>
    <n v="0"/>
  </r>
  <r>
    <x v="11"/>
    <s v="estimated_raw_wg_deliveries"/>
    <x v="13"/>
    <n v="0"/>
  </r>
  <r>
    <x v="11"/>
    <s v="estimated_raw_wg_deliveries"/>
    <x v="14"/>
    <n v="0"/>
  </r>
  <r>
    <x v="11"/>
    <s v="estimated_raw_wg_deliveries"/>
    <x v="15"/>
    <n v="0"/>
  </r>
  <r>
    <x v="11"/>
    <s v="estimated_raw_wg_deliveries"/>
    <x v="16"/>
    <n v="0"/>
  </r>
  <r>
    <x v="11"/>
    <s v="estimated_raw_wg_deliveries"/>
    <x v="17"/>
    <n v="0"/>
  </r>
  <r>
    <x v="11"/>
    <s v="estimated_raw_wg_deliveries"/>
    <x v="18"/>
    <n v="0"/>
  </r>
  <r>
    <x v="11"/>
    <s v="estimated_raw_wg_deliveries"/>
    <x v="19"/>
    <n v="0"/>
  </r>
  <r>
    <x v="11"/>
    <s v="estimated_raw_wg_deliveries"/>
    <x v="20"/>
    <n v="0"/>
  </r>
  <r>
    <x v="11"/>
    <s v="estimated_raw_wg_deliveries"/>
    <x v="21"/>
    <n v="0"/>
  </r>
  <r>
    <x v="11"/>
    <s v="estimated_raw_wg_deliveries"/>
    <x v="22"/>
    <n v="0"/>
  </r>
  <r>
    <x v="11"/>
    <s v="estimated_raw_wg_deliveries"/>
    <x v="23"/>
    <n v="0"/>
  </r>
  <r>
    <x v="11"/>
    <s v="estimated_raw_wg_deliveries"/>
    <x v="24"/>
    <n v="0"/>
  </r>
  <r>
    <x v="11"/>
    <s v="estimated_raw_wg_deliveries"/>
    <x v="25"/>
    <n v="0"/>
  </r>
  <r>
    <x v="11"/>
    <s v="estimated_raw_wg_deliveries"/>
    <x v="26"/>
    <n v="0"/>
  </r>
  <r>
    <x v="11"/>
    <s v="estimated_raw_wg_deliveries"/>
    <x v="27"/>
    <n v="0"/>
  </r>
  <r>
    <x v="11"/>
    <s v="estimated_raw_wg_deliveries"/>
    <x v="28"/>
    <n v="0"/>
  </r>
  <r>
    <x v="11"/>
    <s v="estimated_raw_wg_deliveries"/>
    <x v="29"/>
    <n v="0"/>
  </r>
  <r>
    <x v="11"/>
    <s v="estimated_raw_wg_deliveries"/>
    <x v="30"/>
    <n v="0"/>
  </r>
  <r>
    <x v="11"/>
    <s v="estimated_raw_wg_deliveries"/>
    <x v="3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outline="1" outlineData="1" multipleFieldFilters="0">
  <location ref="A1:M34" firstHeaderRow="1" firstDataRow="2" firstDataCol="1"/>
  <pivotFields count="4"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axis="axisRow" numFmtId="14" showAll="0" sortType="ascending">
      <items count="279">
        <item m="1" x="56"/>
        <item m="1" x="110"/>
        <item m="1" x="214"/>
        <item m="1" x="71"/>
        <item m="1" x="175"/>
        <item m="1" x="33"/>
        <item m="1" x="137"/>
        <item m="1" x="241"/>
        <item m="1" x="99"/>
        <item m="1" x="204"/>
        <item m="1" x="62"/>
        <item m="1" x="166"/>
        <item m="1" x="271"/>
        <item m="1" x="129"/>
        <item m="1" x="232"/>
        <item m="1" x="90"/>
        <item m="1" x="195"/>
        <item m="1" x="53"/>
        <item m="1" x="157"/>
        <item m="1" x="261"/>
        <item m="1" x="118"/>
        <item m="1" x="222"/>
        <item m="1" x="79"/>
        <item m="1" x="183"/>
        <item m="1" x="41"/>
        <item m="1" x="145"/>
        <item m="1" x="249"/>
        <item m="1" x="107"/>
        <item m="1" x="212"/>
        <item m="1" x="69"/>
        <item m="1" x="173"/>
        <item m="1" x="87"/>
        <item m="1" x="192"/>
        <item m="1" x="50"/>
        <item m="1" x="154"/>
        <item m="1" x="258"/>
        <item m="1" x="115"/>
        <item m="1" x="219"/>
        <item m="1" x="76"/>
        <item m="1" x="180"/>
        <item m="1" x="38"/>
        <item m="1" x="142"/>
        <item m="1" x="246"/>
        <item m="1" x="104"/>
        <item m="1" x="209"/>
        <item m="1" x="66"/>
        <item m="1" x="170"/>
        <item m="1" x="275"/>
        <item m="1" x="133"/>
        <item m="1" x="236"/>
        <item m="1" x="94"/>
        <item m="1" x="199"/>
        <item m="1" x="57"/>
        <item m="1" x="160"/>
        <item m="1" x="265"/>
        <item m="1" x="122"/>
        <item m="1" x="226"/>
        <item m="1" x="83"/>
        <item m="1" x="187"/>
        <item m="1" x="45"/>
        <item m="1" x="149"/>
        <item m="1" x="253"/>
        <item m="1" x="126"/>
        <item m="1" x="39"/>
        <item m="1" x="143"/>
        <item m="1" x="247"/>
        <item m="1" x="105"/>
        <item m="1" x="210"/>
        <item m="1" x="67"/>
        <item m="1" x="171"/>
        <item m="1" x="276"/>
        <item m="1" x="134"/>
        <item m="1" x="237"/>
        <item m="1" x="95"/>
        <item m="1" x="200"/>
        <item m="1" x="58"/>
        <item m="1" x="161"/>
        <item m="1" x="266"/>
        <item m="1" x="123"/>
        <item m="1" x="227"/>
        <item m="1" x="84"/>
        <item m="1" x="188"/>
        <item m="1" x="46"/>
        <item m="1" x="150"/>
        <item m="1" x="254"/>
        <item m="1" x="111"/>
        <item m="1" x="215"/>
        <item m="1" x="72"/>
        <item m="1" x="176"/>
        <item m="1" x="34"/>
        <item m="1" x="138"/>
        <item m="1" x="242"/>
        <item m="1" x="100"/>
        <item m="1" x="205"/>
        <item m="1" x="262"/>
        <item m="1" x="119"/>
        <item m="1" x="223"/>
        <item m="1" x="80"/>
        <item m="1" x="184"/>
        <item m="1" x="42"/>
        <item m="1" x="146"/>
        <item m="1" x="250"/>
        <item m="1" x="108"/>
        <item m="1" x="213"/>
        <item m="1" x="70"/>
        <item m="1" x="174"/>
        <item m="1" x="32"/>
        <item m="1" x="136"/>
        <item m="1" x="240"/>
        <item m="1" x="98"/>
        <item m="1" x="203"/>
        <item m="1" x="61"/>
        <item m="1" x="164"/>
        <item m="1" x="269"/>
        <item m="1" x="127"/>
        <item m="1" x="230"/>
        <item m="1" x="88"/>
        <item m="1" x="193"/>
        <item m="1" x="51"/>
        <item m="1" x="155"/>
        <item m="1" x="259"/>
        <item m="1" x="116"/>
        <item m="1" x="220"/>
        <item m="1" x="77"/>
        <item m="1" x="181"/>
        <item m="1" x="238"/>
        <item m="1" x="96"/>
        <item m="1" x="201"/>
        <item m="1" x="59"/>
        <item m="1" x="162"/>
        <item m="1" x="267"/>
        <item m="1" x="124"/>
        <item m="1" x="228"/>
        <item m="1" x="85"/>
        <item m="1" x="189"/>
        <item m="1" x="47"/>
        <item m="1" x="151"/>
        <item m="1" x="255"/>
        <item m="1" x="112"/>
        <item m="1" x="216"/>
        <item m="1" x="73"/>
        <item m="1" x="177"/>
        <item m="1" x="35"/>
        <item m="1" x="139"/>
        <item m="1" x="243"/>
        <item m="1" x="101"/>
        <item m="1" x="206"/>
        <item m="1" x="63"/>
        <item m="1" x="167"/>
        <item m="1" x="272"/>
        <item m="1" x="130"/>
        <item m="1" x="233"/>
        <item m="1" x="91"/>
        <item m="1" x="19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m="1" x="190"/>
        <item m="1" x="48"/>
        <item m="1" x="152"/>
        <item m="1" x="256"/>
        <item m="1" x="113"/>
        <item m="1" x="217"/>
        <item m="1" x="74"/>
        <item m="1" x="178"/>
        <item m="1" x="36"/>
        <item m="1" x="140"/>
        <item m="1" x="244"/>
        <item m="1" x="102"/>
        <item m="1" x="207"/>
        <item m="1" x="64"/>
        <item m="1" x="168"/>
        <item m="1" x="273"/>
        <item m="1" x="131"/>
        <item m="1" x="234"/>
        <item m="1" x="92"/>
        <item m="1" x="197"/>
        <item m="1" x="54"/>
        <item m="1" x="158"/>
        <item m="1" x="263"/>
        <item m="1" x="120"/>
        <item m="1" x="224"/>
        <item m="1" x="81"/>
        <item m="1" x="185"/>
        <item m="1" x="43"/>
        <item m="1" x="147"/>
        <item m="1" x="251"/>
        <item m="1" x="165"/>
        <item m="1" x="270"/>
        <item m="1" x="128"/>
        <item m="1" x="231"/>
        <item m="1" x="89"/>
        <item m="1" x="194"/>
        <item m="1" x="52"/>
        <item m="1" x="156"/>
        <item m="1" x="260"/>
        <item m="1" x="117"/>
        <item m="1" x="221"/>
        <item m="1" x="78"/>
        <item m="1" x="182"/>
        <item m="1" x="40"/>
        <item m="1" x="144"/>
        <item m="1" x="248"/>
        <item m="1" x="106"/>
        <item m="1" x="211"/>
        <item m="1" x="68"/>
        <item m="1" x="172"/>
        <item m="1" x="277"/>
        <item m="1" x="135"/>
        <item m="1" x="239"/>
        <item m="1" x="97"/>
        <item m="1" x="202"/>
        <item m="1" x="60"/>
        <item m="1" x="163"/>
        <item m="1" x="268"/>
        <item m="1" x="125"/>
        <item m="1" x="229"/>
        <item m="1" x="86"/>
        <item m="1" x="191"/>
        <item m="1" x="49"/>
        <item m="1" x="153"/>
        <item m="1" x="257"/>
        <item m="1" x="114"/>
        <item m="1" x="218"/>
        <item m="1" x="75"/>
        <item m="1" x="179"/>
        <item m="1" x="37"/>
        <item m="1" x="141"/>
        <item m="1" x="245"/>
        <item m="1" x="103"/>
        <item m="1" x="208"/>
        <item m="1" x="65"/>
        <item m="1" x="169"/>
        <item m="1" x="274"/>
        <item m="1" x="132"/>
        <item m="1" x="235"/>
        <item m="1" x="93"/>
        <item m="1" x="198"/>
        <item m="1" x="55"/>
        <item m="1" x="159"/>
        <item m="1" x="264"/>
        <item m="1" x="121"/>
        <item m="1" x="225"/>
        <item m="1" x="82"/>
        <item m="1" x="186"/>
        <item m="1" x="44"/>
        <item m="1" x="148"/>
        <item m="1" x="252"/>
        <item m="1" x="109"/>
        <item t="default"/>
      </items>
    </pivotField>
    <pivotField dataField="1" showAll="0"/>
  </pivotFields>
  <rowFields count="1">
    <field x="2"/>
  </rowFields>
  <rowItems count="32"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</rowItems>
  <colFields count="1">
    <field x="0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colItems>
  <dataFields count="1">
    <dataField name="Sum of ns3:InputValue" fld="3" baseField="0" baseItem="0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2" name="Table2" displayName="Table2" ref="A1:D33" tableType="xml" totalsRowShown="0" connectionId="1">
  <autoFilter ref="A1:D33"/>
  <tableColumns count="4">
    <tableColumn id="1" uniqueName="ns3:DataSetIndex" name="ns3:DataSetIndex">
      <xmlColumnPr mapId="7" xpath="/ns3:calldata_table/ns3:table_row/ns3:DataSetIndex" xmlDataType="integer"/>
    </tableColumn>
    <tableColumn id="2" uniqueName="ns3:DataSetName" name="ns3:DataSetName">
      <xmlColumnPr mapId="7" xpath="/ns3:calldata_table/ns3:table_row/ns3:DataSetName" xmlDataType="string"/>
    </tableColumn>
    <tableColumn id="3" uniqueName="ns3:InputDate" name="ns3:InputDate">
      <xmlColumnPr mapId="7" xpath="/ns3:calldata_table/ns3:table_row/ns3:InputDate" xmlDataType="date"/>
    </tableColumn>
    <tableColumn id="4" uniqueName="ns3:CallAdminNo" name="ns3:CallAdminNo">
      <xmlColumnPr mapId="7" xpath="/ns3:calldata_table/ns3:table_row/ns3:CallAdminNo" xmlDataType="integer"/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D385" tableType="xml" totalsRowShown="0" connectionId="2">
  <autoFilter ref="A1:D385"/>
  <tableColumns count="4">
    <tableColumn id="1" uniqueName="ns3:DataSetIndex" name="ns3:DataSetIndex">
      <xmlColumnPr mapId="4" xpath="/ns3:inputparam_table/ns3:table_row/ns3:DataSetIndex" xmlDataType="integer"/>
    </tableColumn>
    <tableColumn id="2" uniqueName="ns3:DataSetName" name="ns3:DataSetName">
      <xmlColumnPr mapId="4" xpath="/ns3:inputparam_table/ns3:table_row/ns3:DataSetName" xmlDataType="string"/>
    </tableColumn>
    <tableColumn id="3" uniqueName="ns3:InputDate" name="ns3:InputDate">
      <xmlColumnPr mapId="4" xpath="/ns3:inputparam_table/ns3:table_row/ns3:InputDate" xmlDataType="date"/>
    </tableColumn>
    <tableColumn id="4" uniqueName="ns3:InputValue" name="ns3:InputValue">
      <xmlColumnPr mapId="4" xpath="/ns3:inputparam_table/ns3:table_row/ns3:InputValue" xmlDataType="double"/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AN119"/>
  <sheetViews>
    <sheetView zoomScale="60" zoomScaleNormal="60" workbookViewId="0">
      <selection activeCell="G15" sqref="G15"/>
    </sheetView>
  </sheetViews>
  <sheetFormatPr defaultColWidth="9.5546875" defaultRowHeight="13.2"/>
  <cols>
    <col min="1" max="1" width="11.6640625" style="7" customWidth="1"/>
    <col min="2" max="2" width="12.6640625" style="7" customWidth="1"/>
    <col min="3" max="12" width="8.6640625" style="7" customWidth="1"/>
    <col min="13" max="13" width="10.5546875" style="7" customWidth="1"/>
    <col min="14" max="14" width="9.5546875" style="7"/>
    <col min="15" max="15" width="11.77734375" style="7" customWidth="1"/>
    <col min="16" max="16" width="10.77734375" style="7" customWidth="1"/>
    <col min="17" max="27" width="7.77734375" style="7" customWidth="1"/>
    <col min="28" max="29" width="8.33203125" style="7" customWidth="1"/>
    <col min="30" max="34" width="9.21875" style="7" customWidth="1"/>
    <col min="35" max="36" width="8.77734375" style="7" customWidth="1"/>
    <col min="37" max="38" width="8" style="7" customWidth="1"/>
    <col min="39" max="16384" width="9.5546875" style="7"/>
  </cols>
  <sheetData>
    <row r="1" spans="1:39" ht="18" customHeight="1" thickBot="1">
      <c r="B1" s="130" t="s">
        <v>173</v>
      </c>
    </row>
    <row r="2" spans="1:39" s="8" customFormat="1" ht="19.8" customHeight="1" thickBot="1">
      <c r="B2" s="129">
        <v>40087</v>
      </c>
      <c r="C2"/>
      <c r="D2"/>
    </row>
    <row r="3" spans="1:39" ht="10.199999999999999" customHeight="1">
      <c r="A3" s="101" t="s">
        <v>182</v>
      </c>
      <c r="B3">
        <v>3</v>
      </c>
      <c r="C3"/>
      <c r="D3">
        <v>4</v>
      </c>
      <c r="G3" s="8">
        <v>2</v>
      </c>
      <c r="I3"/>
      <c r="N3" s="8"/>
      <c r="O3" s="9">
        <v>5</v>
      </c>
      <c r="P3"/>
      <c r="Q3"/>
      <c r="R3" s="7">
        <v>6</v>
      </c>
      <c r="T3" s="7">
        <v>7</v>
      </c>
      <c r="V3" s="7">
        <v>8</v>
      </c>
      <c r="X3" s="7">
        <v>9</v>
      </c>
      <c r="Z3" s="7">
        <v>10</v>
      </c>
      <c r="AB3" s="8">
        <v>11</v>
      </c>
      <c r="AD3"/>
      <c r="AE3">
        <v>12</v>
      </c>
      <c r="AF3"/>
      <c r="AI3" s="7">
        <v>13</v>
      </c>
    </row>
    <row r="4" spans="1:39">
      <c r="B4" s="8" t="s">
        <v>14</v>
      </c>
      <c r="D4" s="115">
        <v>0.325851</v>
      </c>
      <c r="E4" s="7" t="s">
        <v>15</v>
      </c>
      <c r="G4" s="8" t="s">
        <v>16</v>
      </c>
      <c r="I4" s="114">
        <f>ROUND(VLOOKUP(MONTH(A15),$B$66:$C$77,2),2)</f>
        <v>0.57999999999999996</v>
      </c>
      <c r="J4" s="7" t="s">
        <v>17</v>
      </c>
      <c r="N4" s="8" t="s">
        <v>18</v>
      </c>
      <c r="O4" s="112">
        <v>3680000</v>
      </c>
      <c r="P4" s="8" t="s">
        <v>19</v>
      </c>
      <c r="Q4" s="7" t="s">
        <v>20</v>
      </c>
    </row>
    <row r="5" spans="1:39" ht="13.8" thickBot="1">
      <c r="G5" s="11" t="s">
        <v>21</v>
      </c>
    </row>
    <row r="6" spans="1:39" ht="13.95" customHeight="1" thickTop="1">
      <c r="A6" s="12"/>
      <c r="B6" s="175" t="s">
        <v>22</v>
      </c>
      <c r="C6" s="176"/>
      <c r="D6" s="176"/>
      <c r="E6" s="176"/>
      <c r="F6" s="177"/>
      <c r="G6" s="178" t="s">
        <v>23</v>
      </c>
      <c r="H6" s="179"/>
      <c r="I6" s="179"/>
      <c r="J6" s="179"/>
      <c r="K6" s="179"/>
      <c r="L6" s="180"/>
      <c r="M6" s="181" t="s">
        <v>24</v>
      </c>
      <c r="N6" s="184" t="s">
        <v>25</v>
      </c>
      <c r="O6" s="187" t="s">
        <v>26</v>
      </c>
      <c r="P6" s="188"/>
      <c r="Q6" s="188"/>
      <c r="R6" s="188"/>
      <c r="S6" s="188"/>
      <c r="T6" s="188"/>
      <c r="U6" s="188"/>
      <c r="V6" s="188"/>
      <c r="W6" s="188"/>
      <c r="X6" s="188"/>
      <c r="Y6" s="188"/>
      <c r="Z6" s="188"/>
      <c r="AA6" s="189"/>
      <c r="AB6" s="168" t="s">
        <v>27</v>
      </c>
      <c r="AC6" s="169"/>
      <c r="AD6" s="169"/>
      <c r="AE6" s="169"/>
      <c r="AF6" s="169"/>
      <c r="AG6" s="169"/>
      <c r="AH6" s="170"/>
      <c r="AI6" s="144" t="s">
        <v>28</v>
      </c>
      <c r="AJ6" s="145"/>
      <c r="AK6" s="145"/>
      <c r="AL6" s="146"/>
      <c r="AM6" s="13"/>
    </row>
    <row r="7" spans="1:39">
      <c r="A7" s="14"/>
      <c r="B7" s="15"/>
      <c r="C7" s="16"/>
      <c r="D7" s="16"/>
      <c r="E7" s="16"/>
      <c r="F7" s="17"/>
      <c r="G7" s="18"/>
      <c r="H7" s="19"/>
      <c r="I7" s="19"/>
      <c r="J7" s="19"/>
      <c r="K7" s="150" t="s">
        <v>29</v>
      </c>
      <c r="L7" s="151"/>
      <c r="M7" s="182"/>
      <c r="N7" s="185"/>
      <c r="O7" s="16"/>
      <c r="P7" s="16"/>
      <c r="Q7" s="16"/>
      <c r="R7" s="152" t="s">
        <v>30</v>
      </c>
      <c r="S7" s="153"/>
      <c r="T7" s="153"/>
      <c r="U7" s="16"/>
      <c r="V7" s="154" t="s">
        <v>31</v>
      </c>
      <c r="W7" s="155"/>
      <c r="X7" s="152" t="s">
        <v>32</v>
      </c>
      <c r="Y7" s="153"/>
      <c r="Z7" s="153"/>
      <c r="AA7" s="158"/>
      <c r="AB7" s="159" t="s">
        <v>33</v>
      </c>
      <c r="AC7" s="155"/>
      <c r="AD7" s="154" t="s">
        <v>34</v>
      </c>
      <c r="AE7" s="162"/>
      <c r="AF7" s="155"/>
      <c r="AG7" s="147" t="s">
        <v>35</v>
      </c>
      <c r="AH7" s="149"/>
      <c r="AI7" s="147"/>
      <c r="AJ7" s="148"/>
      <c r="AK7" s="148"/>
      <c r="AL7" s="149"/>
      <c r="AM7" s="20"/>
    </row>
    <row r="8" spans="1:39" ht="22.8" customHeight="1">
      <c r="A8" s="14"/>
      <c r="B8" s="190" t="s">
        <v>36</v>
      </c>
      <c r="C8" s="191"/>
      <c r="D8" s="194" t="s">
        <v>37</v>
      </c>
      <c r="E8" s="191"/>
      <c r="F8" s="21"/>
      <c r="G8" s="159" t="s">
        <v>38</v>
      </c>
      <c r="H8" s="155"/>
      <c r="I8" s="22" t="s">
        <v>39</v>
      </c>
      <c r="J8" s="23" t="s">
        <v>40</v>
      </c>
      <c r="K8" s="22"/>
      <c r="L8" s="21"/>
      <c r="M8" s="182"/>
      <c r="N8" s="185"/>
      <c r="O8" s="154" t="s">
        <v>41</v>
      </c>
      <c r="P8" s="162"/>
      <c r="Q8" s="155"/>
      <c r="R8" s="164" t="s">
        <v>42</v>
      </c>
      <c r="S8" s="165"/>
      <c r="T8" s="164" t="s">
        <v>43</v>
      </c>
      <c r="U8" s="165"/>
      <c r="V8" s="147"/>
      <c r="W8" s="149"/>
      <c r="X8" s="171" t="s">
        <v>44</v>
      </c>
      <c r="Y8" s="172"/>
      <c r="Z8" s="171" t="s">
        <v>45</v>
      </c>
      <c r="AA8" s="173"/>
      <c r="AB8" s="160"/>
      <c r="AC8" s="149"/>
      <c r="AD8" s="147"/>
      <c r="AE8" s="148"/>
      <c r="AF8" s="149"/>
      <c r="AG8" s="147"/>
      <c r="AH8" s="149"/>
      <c r="AI8" s="174" t="s">
        <v>46</v>
      </c>
      <c r="AJ8" s="174" t="s">
        <v>47</v>
      </c>
      <c r="AK8" s="174" t="s">
        <v>48</v>
      </c>
      <c r="AL8" s="174"/>
      <c r="AM8" s="24"/>
    </row>
    <row r="9" spans="1:39" ht="13.2" customHeight="1">
      <c r="A9" s="25" t="s">
        <v>49</v>
      </c>
      <c r="B9" s="192"/>
      <c r="C9" s="193"/>
      <c r="D9" s="195"/>
      <c r="E9" s="193"/>
      <c r="F9" s="26" t="s">
        <v>50</v>
      </c>
      <c r="G9" s="161"/>
      <c r="H9" s="157"/>
      <c r="I9" s="27" t="s">
        <v>51</v>
      </c>
      <c r="J9" s="27" t="s">
        <v>52</v>
      </c>
      <c r="K9" s="28" t="s">
        <v>36</v>
      </c>
      <c r="L9" s="26" t="s">
        <v>37</v>
      </c>
      <c r="M9" s="183"/>
      <c r="N9" s="186"/>
      <c r="O9" s="156"/>
      <c r="P9" s="163"/>
      <c r="Q9" s="157"/>
      <c r="R9" s="166"/>
      <c r="S9" s="167"/>
      <c r="T9" s="166"/>
      <c r="U9" s="167"/>
      <c r="V9" s="156"/>
      <c r="W9" s="157"/>
      <c r="X9" s="195" t="s">
        <v>53</v>
      </c>
      <c r="Y9" s="193"/>
      <c r="Z9" s="195" t="s">
        <v>54</v>
      </c>
      <c r="AA9" s="196"/>
      <c r="AB9" s="161"/>
      <c r="AC9" s="157"/>
      <c r="AD9" s="156"/>
      <c r="AE9" s="163"/>
      <c r="AF9" s="157"/>
      <c r="AG9" s="156"/>
      <c r="AH9" s="157"/>
      <c r="AI9" s="174"/>
      <c r="AJ9" s="174"/>
      <c r="AK9" s="174"/>
      <c r="AL9" s="174"/>
      <c r="AM9" s="26" t="s">
        <v>55</v>
      </c>
    </row>
    <row r="10" spans="1:39">
      <c r="A10" s="29" t="s">
        <v>56</v>
      </c>
      <c r="B10" s="30" t="s">
        <v>57</v>
      </c>
      <c r="C10" s="31" t="s">
        <v>58</v>
      </c>
      <c r="D10" s="31" t="s">
        <v>59</v>
      </c>
      <c r="E10" s="31" t="s">
        <v>60</v>
      </c>
      <c r="F10" s="32" t="s">
        <v>61</v>
      </c>
      <c r="G10" s="30" t="s">
        <v>62</v>
      </c>
      <c r="H10" s="31" t="s">
        <v>63</v>
      </c>
      <c r="I10" s="31" t="s">
        <v>64</v>
      </c>
      <c r="J10" s="31" t="s">
        <v>65</v>
      </c>
      <c r="K10" s="31" t="s">
        <v>66</v>
      </c>
      <c r="L10" s="32" t="s">
        <v>67</v>
      </c>
      <c r="M10" s="33" t="s">
        <v>68</v>
      </c>
      <c r="N10" s="30" t="s">
        <v>69</v>
      </c>
      <c r="O10" s="31" t="s">
        <v>70</v>
      </c>
      <c r="P10" s="135" t="s">
        <v>71</v>
      </c>
      <c r="Q10" s="134"/>
      <c r="R10" s="141" t="s">
        <v>72</v>
      </c>
      <c r="S10" s="142"/>
      <c r="T10" s="135" t="s">
        <v>73</v>
      </c>
      <c r="U10" s="134"/>
      <c r="V10" s="135" t="s">
        <v>74</v>
      </c>
      <c r="W10" s="134"/>
      <c r="X10" s="135" t="s">
        <v>75</v>
      </c>
      <c r="Y10" s="134"/>
      <c r="Z10" s="135" t="s">
        <v>76</v>
      </c>
      <c r="AA10" s="143"/>
      <c r="AB10" s="133" t="s">
        <v>77</v>
      </c>
      <c r="AC10" s="134"/>
      <c r="AD10" s="135" t="s">
        <v>78</v>
      </c>
      <c r="AE10" s="134"/>
      <c r="AF10" s="34"/>
      <c r="AG10" s="135" t="s">
        <v>79</v>
      </c>
      <c r="AH10" s="134"/>
      <c r="AI10" s="135" t="s">
        <v>80</v>
      </c>
      <c r="AJ10" s="136"/>
      <c r="AK10" s="136"/>
      <c r="AL10" s="134"/>
      <c r="AM10" s="32" t="s">
        <v>81</v>
      </c>
    </row>
    <row r="11" spans="1:39">
      <c r="A11" s="35"/>
      <c r="B11" s="116" t="s">
        <v>82</v>
      </c>
      <c r="C11" s="36" t="s">
        <v>83</v>
      </c>
      <c r="D11" s="117" t="s">
        <v>82</v>
      </c>
      <c r="E11" s="36" t="s">
        <v>83</v>
      </c>
      <c r="F11" s="37" t="s">
        <v>83</v>
      </c>
      <c r="G11" s="116" t="s">
        <v>82</v>
      </c>
      <c r="H11" s="36" t="s">
        <v>83</v>
      </c>
      <c r="I11" s="36" t="s">
        <v>83</v>
      </c>
      <c r="J11" s="36"/>
      <c r="K11" s="36" t="s">
        <v>83</v>
      </c>
      <c r="L11" s="37" t="s">
        <v>83</v>
      </c>
      <c r="M11" s="38" t="s">
        <v>83</v>
      </c>
      <c r="N11" s="116" t="s">
        <v>82</v>
      </c>
      <c r="O11" s="117" t="s">
        <v>82</v>
      </c>
      <c r="P11" s="137" t="s">
        <v>83</v>
      </c>
      <c r="Q11" s="138"/>
      <c r="R11" s="117" t="s">
        <v>82</v>
      </c>
      <c r="S11" s="39" t="s">
        <v>83</v>
      </c>
      <c r="T11" s="117" t="s">
        <v>82</v>
      </c>
      <c r="U11" s="39" t="s">
        <v>83</v>
      </c>
      <c r="V11" s="117" t="s">
        <v>82</v>
      </c>
      <c r="W11" s="39" t="s">
        <v>83</v>
      </c>
      <c r="X11" s="117" t="s">
        <v>82</v>
      </c>
      <c r="Y11" s="39" t="s">
        <v>83</v>
      </c>
      <c r="Z11" s="118" t="s">
        <v>82</v>
      </c>
      <c r="AA11" s="39" t="s">
        <v>83</v>
      </c>
      <c r="AB11" s="116" t="s">
        <v>82</v>
      </c>
      <c r="AC11" s="39" t="s">
        <v>83</v>
      </c>
      <c r="AD11" s="39" t="s">
        <v>83</v>
      </c>
      <c r="AE11" s="117" t="s">
        <v>82</v>
      </c>
      <c r="AF11" s="39" t="s">
        <v>83</v>
      </c>
      <c r="AG11" s="36" t="s">
        <v>83</v>
      </c>
      <c r="AH11" s="39" t="s">
        <v>83</v>
      </c>
      <c r="AI11" s="117" t="s">
        <v>82</v>
      </c>
      <c r="AJ11" s="36" t="s">
        <v>83</v>
      </c>
      <c r="AK11" s="36" t="s">
        <v>83</v>
      </c>
      <c r="AL11" s="39" t="s">
        <v>83</v>
      </c>
      <c r="AM11" s="37"/>
    </row>
    <row r="12" spans="1:39" ht="33" customHeight="1">
      <c r="A12" s="40"/>
      <c r="B12" s="41"/>
      <c r="C12" s="42" t="s">
        <v>84</v>
      </c>
      <c r="D12" s="42"/>
      <c r="E12" s="42" t="s">
        <v>85</v>
      </c>
      <c r="F12" s="43" t="s">
        <v>86</v>
      </c>
      <c r="G12" s="41"/>
      <c r="H12" s="42" t="s">
        <v>87</v>
      </c>
      <c r="I12" s="42" t="s">
        <v>88</v>
      </c>
      <c r="J12" s="42" t="s">
        <v>89</v>
      </c>
      <c r="K12" s="42" t="s">
        <v>90</v>
      </c>
      <c r="L12" s="43" t="s">
        <v>91</v>
      </c>
      <c r="M12" s="44" t="s">
        <v>92</v>
      </c>
      <c r="N12" s="41" t="s">
        <v>93</v>
      </c>
      <c r="O12" s="42"/>
      <c r="P12" s="42" t="s">
        <v>94</v>
      </c>
      <c r="Q12" s="42" t="s">
        <v>95</v>
      </c>
      <c r="R12" s="139" t="s">
        <v>96</v>
      </c>
      <c r="S12" s="140"/>
      <c r="T12" s="139" t="s">
        <v>97</v>
      </c>
      <c r="U12" s="140"/>
      <c r="V12" s="42" t="s">
        <v>98</v>
      </c>
      <c r="W12" s="42"/>
      <c r="X12" s="42" t="s">
        <v>98</v>
      </c>
      <c r="Y12" s="45"/>
      <c r="Z12" s="45" t="s">
        <v>98</v>
      </c>
      <c r="AA12" s="45"/>
      <c r="AB12" s="41" t="s">
        <v>98</v>
      </c>
      <c r="AC12" s="45"/>
      <c r="AD12" s="45" t="s">
        <v>99</v>
      </c>
      <c r="AE12" s="42" t="s">
        <v>98</v>
      </c>
      <c r="AF12" s="45"/>
      <c r="AG12" s="42" t="s">
        <v>100</v>
      </c>
      <c r="AH12" s="45"/>
      <c r="AI12" s="46" t="s">
        <v>101</v>
      </c>
      <c r="AJ12" s="42" t="s">
        <v>102</v>
      </c>
      <c r="AK12" s="47" t="s">
        <v>103</v>
      </c>
      <c r="AL12" s="45" t="s">
        <v>104</v>
      </c>
      <c r="AM12" s="43"/>
    </row>
    <row r="13" spans="1:39">
      <c r="A13" s="131" t="s">
        <v>105</v>
      </c>
      <c r="B13" s="48" t="s">
        <v>106</v>
      </c>
      <c r="C13" s="36" t="s">
        <v>107</v>
      </c>
      <c r="D13" s="36" t="s">
        <v>106</v>
      </c>
      <c r="E13" s="36" t="s">
        <v>107</v>
      </c>
      <c r="F13" s="37" t="s">
        <v>107</v>
      </c>
      <c r="G13" s="48" t="s">
        <v>106</v>
      </c>
      <c r="H13" s="36" t="s">
        <v>107</v>
      </c>
      <c r="I13" s="36" t="s">
        <v>107</v>
      </c>
      <c r="J13" s="36"/>
      <c r="K13" s="36" t="s">
        <v>107</v>
      </c>
      <c r="L13" s="37" t="s">
        <v>107</v>
      </c>
      <c r="M13" s="38" t="s">
        <v>108</v>
      </c>
      <c r="N13" s="48" t="s">
        <v>109</v>
      </c>
      <c r="O13" s="36" t="s">
        <v>106</v>
      </c>
      <c r="P13" s="36" t="s">
        <v>107</v>
      </c>
      <c r="Q13" s="49" t="s">
        <v>110</v>
      </c>
      <c r="R13" s="36" t="s">
        <v>107</v>
      </c>
      <c r="S13" s="49" t="s">
        <v>110</v>
      </c>
      <c r="T13" s="36" t="s">
        <v>107</v>
      </c>
      <c r="U13" s="49" t="s">
        <v>110</v>
      </c>
      <c r="V13" s="36" t="s">
        <v>107</v>
      </c>
      <c r="W13" s="49" t="s">
        <v>110</v>
      </c>
      <c r="X13" s="36" t="s">
        <v>107</v>
      </c>
      <c r="Y13" s="49" t="s">
        <v>110</v>
      </c>
      <c r="Z13" s="50" t="s">
        <v>107</v>
      </c>
      <c r="AA13" s="49" t="s">
        <v>110</v>
      </c>
      <c r="AB13" s="48" t="s">
        <v>107</v>
      </c>
      <c r="AC13" s="49" t="s">
        <v>110</v>
      </c>
      <c r="AD13" s="36" t="s">
        <v>107</v>
      </c>
      <c r="AE13" s="36" t="s">
        <v>107</v>
      </c>
      <c r="AF13" s="49" t="s">
        <v>110</v>
      </c>
      <c r="AG13" s="36" t="s">
        <v>107</v>
      </c>
      <c r="AH13" s="49" t="s">
        <v>110</v>
      </c>
      <c r="AI13" s="36" t="s">
        <v>107</v>
      </c>
      <c r="AJ13" s="36" t="s">
        <v>107</v>
      </c>
      <c r="AK13" s="36" t="s">
        <v>107</v>
      </c>
      <c r="AL13" s="49" t="s">
        <v>110</v>
      </c>
      <c r="AM13" s="37"/>
    </row>
    <row r="14" spans="1:39">
      <c r="A14" s="132"/>
      <c r="B14" s="105">
        <f>INDEX(data_inputs,MATCH($A15-1,data_inputs_dates),B$3)</f>
        <v>7.8849999999999998</v>
      </c>
      <c r="C14" s="51">
        <f t="shared" ref="C14:C45" si="0">+B14/0.325851</f>
        <v>24.198176467158302</v>
      </c>
      <c r="D14" s="107">
        <f>INDEX(data_inputs,MATCH($A15-1,data_inputs_dates),D$3)</f>
        <v>4.8029999999999999</v>
      </c>
      <c r="E14" s="51">
        <f t="shared" ref="E14:E45" si="1">+D14/$D$4</f>
        <v>14.739865766868906</v>
      </c>
      <c r="F14" s="52">
        <f t="shared" ref="F14:F45" si="2">+E14+C14</f>
        <v>38.938042234027208</v>
      </c>
      <c r="G14" s="53" t="s">
        <v>111</v>
      </c>
      <c r="H14" s="54"/>
      <c r="I14" s="54"/>
      <c r="J14" s="54"/>
      <c r="K14" s="54" t="s">
        <v>111</v>
      </c>
      <c r="L14" s="55" t="s">
        <v>111</v>
      </c>
      <c r="M14" s="56"/>
      <c r="N14" s="53" t="s">
        <v>111</v>
      </c>
      <c r="O14" s="54" t="s">
        <v>111</v>
      </c>
      <c r="P14" s="54"/>
      <c r="Q14" s="54"/>
      <c r="R14" s="54" t="s">
        <v>111</v>
      </c>
      <c r="S14" s="54" t="s">
        <v>111</v>
      </c>
      <c r="T14" s="54" t="s">
        <v>111</v>
      </c>
      <c r="U14" s="54" t="s">
        <v>111</v>
      </c>
      <c r="V14" s="54" t="s">
        <v>111</v>
      </c>
      <c r="W14" s="54" t="s">
        <v>111</v>
      </c>
      <c r="X14" s="54" t="s">
        <v>111</v>
      </c>
      <c r="Y14" s="54" t="s">
        <v>111</v>
      </c>
      <c r="Z14" s="57" t="s">
        <v>111</v>
      </c>
      <c r="AA14" s="58"/>
      <c r="AB14" s="59" t="s">
        <v>111</v>
      </c>
      <c r="AC14" s="54" t="s">
        <v>111</v>
      </c>
      <c r="AD14" s="54"/>
      <c r="AE14" s="54"/>
      <c r="AF14" s="54" t="s">
        <v>111</v>
      </c>
      <c r="AG14" s="120"/>
      <c r="AH14" s="54" t="s">
        <v>111</v>
      </c>
      <c r="AI14" s="54"/>
      <c r="AJ14" s="54"/>
      <c r="AK14" s="54"/>
      <c r="AL14" s="54" t="s">
        <v>111</v>
      </c>
      <c r="AM14" s="37"/>
    </row>
    <row r="15" spans="1:39">
      <c r="A15" s="60">
        <f>'all downloaded data crosstab'!A4</f>
        <v>40087</v>
      </c>
      <c r="B15" s="106">
        <f>INDEX(data_inputs,MATCH($A15,data_inputs_dates),B$3)</f>
        <v>4.7149999999999999</v>
      </c>
      <c r="C15" s="51">
        <f t="shared" si="0"/>
        <v>14.469803683278553</v>
      </c>
      <c r="D15" s="108">
        <f t="shared" ref="D15:D45" si="3">INDEX(data_inputs,MATCH($A15,data_inputs_dates),D$3)</f>
        <v>4.7839999999999998</v>
      </c>
      <c r="E15" s="51">
        <f t="shared" si="1"/>
        <v>14.681556907911897</v>
      </c>
      <c r="F15" s="52">
        <f t="shared" si="2"/>
        <v>29.15136059119045</v>
      </c>
      <c r="G15" s="109">
        <f t="shared" ref="G15:G45" si="4">INDEX(data_inputs,MATCH($A15,data_inputs_dates),G$3)</f>
        <v>4.6079999999999997</v>
      </c>
      <c r="H15" s="61">
        <f t="shared" ref="H15:H45" si="5">+G15/$D$4</f>
        <v>14.141432740731192</v>
      </c>
      <c r="I15" s="61">
        <f t="shared" ref="I15:I45" si="6">MAX(+H15-F14*$I$4,0)</f>
        <v>0</v>
      </c>
      <c r="J15" s="119">
        <v>0</v>
      </c>
      <c r="K15" s="61">
        <f t="shared" ref="K15:K45" si="7">IF(F14=0,0,IF(J15=0,+C14/F14*(H15-I15),H15-I15-L15))</f>
        <v>8.7882406337220544</v>
      </c>
      <c r="L15" s="62">
        <f t="shared" ref="L15:L45" si="8">IF(F14=0,0,IF(J15=0,+E14/F14*(H15-I15),MIN(E14*0.91,H15-I15)))</f>
        <v>5.3531921070091357</v>
      </c>
      <c r="M15" s="63">
        <f>L15*325851/24/60</f>
        <v>1211.3493064312736</v>
      </c>
      <c r="N15" s="109">
        <f t="shared" ref="N15:N45" si="9">VLOOKUP(A15,raw_call_data,2)</f>
        <v>99999</v>
      </c>
      <c r="O15" s="121">
        <f t="shared" ref="O15:O45" si="10">INDEX(data_inputs,MATCH($A15,data_inputs_dates),O$3)</f>
        <v>0</v>
      </c>
      <c r="P15" s="102">
        <f>+O15/$D$4</f>
        <v>0</v>
      </c>
      <c r="Q15" s="122">
        <f t="shared" ref="Q15:Q45" si="11">+O15*1.55</f>
        <v>0</v>
      </c>
      <c r="R15" s="110">
        <f t="shared" ref="R15:R45" si="12">INDEX(data_inputs,MATCH($A15,data_inputs_dates),R$3)</f>
        <v>0</v>
      </c>
      <c r="S15" s="122">
        <f t="shared" ref="S15:S45" si="13">+R15/1.9835</f>
        <v>0</v>
      </c>
      <c r="T15" s="110">
        <f t="shared" ref="T15:T45" si="14">INDEX(data_inputs,MATCH($A15,data_inputs_dates),T$3)</f>
        <v>0</v>
      </c>
      <c r="U15" s="122">
        <f t="shared" ref="U15:U45" si="15">+T15/1.9835</f>
        <v>0</v>
      </c>
      <c r="V15" s="110">
        <f t="shared" ref="V15:V45" si="16">INDEX(data_inputs,MATCH($A15,data_inputs_dates),V$3)</f>
        <v>0</v>
      </c>
      <c r="W15" s="122">
        <f t="shared" ref="W15:W45" si="17">+V15/1.9835</f>
        <v>0</v>
      </c>
      <c r="X15" s="110">
        <f t="shared" ref="X15:X45" si="18">INDEX(data_inputs,MATCH($A15,data_inputs_dates),X$3)</f>
        <v>0</v>
      </c>
      <c r="Y15" s="122">
        <f t="shared" ref="Y15:Y45" si="19">+X15/1.9835</f>
        <v>0</v>
      </c>
      <c r="Z15" s="110">
        <f t="shared" ref="Z15:Z45" si="20">INDEX(data_inputs,MATCH($A15,data_inputs_dates),Z$3)</f>
        <v>0</v>
      </c>
      <c r="AA15" s="122">
        <f t="shared" ref="AA15:AA45" si="21">+Z15/1.9835</f>
        <v>0</v>
      </c>
      <c r="AB15" s="111">
        <f t="shared" ref="AB15:AB45" si="22">INDEX(data_inputs,MATCH($A15,data_inputs_dates),AB$3)</f>
        <v>0.13400000000000001</v>
      </c>
      <c r="AC15" s="122">
        <f t="shared" ref="AC15:AC45" si="23">+AB15/1.9835</f>
        <v>6.7557348122006561E-2</v>
      </c>
      <c r="AD15" s="123">
        <f>MAX(+L15-V15,0)</f>
        <v>5.3531921070091357</v>
      </c>
      <c r="AE15" s="111">
        <f t="shared" ref="AE15:AE45" si="24">INDEX(data_inputs,MATCH($A15,data_inputs_dates),AE$3)</f>
        <v>0.13400000000000001</v>
      </c>
      <c r="AF15" s="122">
        <f t="shared" ref="AF15:AF45" si="25">+AE15/1.9835</f>
        <v>6.7557348122006561E-2</v>
      </c>
      <c r="AG15" s="127">
        <f>+SUM(R15,T15,V15,X15,Z15)-P15-AB15+AE15+AG14-(AJ15-AK15)*IF(J15=0,$I$4,0.91)</f>
        <v>0</v>
      </c>
      <c r="AH15" s="128">
        <f t="shared" ref="AH15:AH45" si="26">+AG15/1.9835</f>
        <v>0</v>
      </c>
      <c r="AI15" s="111">
        <f t="shared" ref="AI15:AI45" si="27">INDEX(data_inputs,MATCH($A15,data_inputs_dates),AI$3)</f>
        <v>0</v>
      </c>
      <c r="AJ15" s="125">
        <f t="shared" ref="AJ15:AJ45" si="28">IF(J15=0,((V15+AE15)/$I$4),IF(J15=1,(V15+AE15)/0.91,"Check Column ii"))</f>
        <v>0.23103448275862071</v>
      </c>
      <c r="AK15" s="124">
        <f>MIN(34.7-AI15,AJ15,E14)</f>
        <v>0.23103448275862071</v>
      </c>
      <c r="AL15" s="126">
        <f>AK15/1.9835</f>
        <v>0.11647818641725269</v>
      </c>
      <c r="AM15" s="64"/>
    </row>
    <row r="16" spans="1:39">
      <c r="A16" s="65">
        <f>'all downloaded data crosstab'!A5</f>
        <v>40088</v>
      </c>
      <c r="B16" s="106">
        <f t="shared" ref="B16:B45" si="29">INDEX(data_inputs,MATCH($A16,data_inputs_dates),B$3)</f>
        <v>5.7359999999999998</v>
      </c>
      <c r="C16" s="51">
        <f t="shared" si="0"/>
        <v>17.603137630389348</v>
      </c>
      <c r="D16" s="108">
        <f t="shared" si="3"/>
        <v>4.5739999999999998</v>
      </c>
      <c r="E16" s="51">
        <f t="shared" si="1"/>
        <v>14.037090572071284</v>
      </c>
      <c r="F16" s="52">
        <f t="shared" si="2"/>
        <v>31.640228202460634</v>
      </c>
      <c r="G16" s="109">
        <f t="shared" si="4"/>
        <v>5.048</v>
      </c>
      <c r="H16" s="61">
        <f t="shared" si="5"/>
        <v>15.491743158682956</v>
      </c>
      <c r="I16" s="61">
        <f t="shared" si="6"/>
        <v>0</v>
      </c>
      <c r="J16" s="119">
        <v>0</v>
      </c>
      <c r="K16" s="61">
        <f t="shared" si="7"/>
        <v>7.6896061683535253</v>
      </c>
      <c r="L16" s="62">
        <f t="shared" si="8"/>
        <v>7.8021369903294309</v>
      </c>
      <c r="M16" s="63">
        <f t="shared" ref="M16:M45" si="30">L16*325851/24/60</f>
        <v>1765.5098197471079</v>
      </c>
      <c r="N16" s="109">
        <f t="shared" si="9"/>
        <v>99999</v>
      </c>
      <c r="O16" s="121">
        <f t="shared" si="10"/>
        <v>0</v>
      </c>
      <c r="P16" s="102">
        <f t="shared" ref="P16:P45" si="31">+O16/$D$4</f>
        <v>0</v>
      </c>
      <c r="Q16" s="122">
        <f t="shared" si="11"/>
        <v>0</v>
      </c>
      <c r="R16" s="110">
        <f t="shared" si="12"/>
        <v>0</v>
      </c>
      <c r="S16" s="122">
        <f t="shared" si="13"/>
        <v>0</v>
      </c>
      <c r="T16" s="110">
        <f t="shared" si="14"/>
        <v>0</v>
      </c>
      <c r="U16" s="122">
        <f t="shared" si="15"/>
        <v>0</v>
      </c>
      <c r="V16" s="110">
        <f t="shared" si="16"/>
        <v>0</v>
      </c>
      <c r="W16" s="122">
        <f t="shared" si="17"/>
        <v>0</v>
      </c>
      <c r="X16" s="110">
        <f t="shared" si="18"/>
        <v>0</v>
      </c>
      <c r="Y16" s="122">
        <f t="shared" si="19"/>
        <v>0</v>
      </c>
      <c r="Z16" s="110">
        <f t="shared" si="20"/>
        <v>0</v>
      </c>
      <c r="AA16" s="122">
        <f t="shared" si="21"/>
        <v>0</v>
      </c>
      <c r="AB16" s="111">
        <f t="shared" si="22"/>
        <v>0.13400000000000001</v>
      </c>
      <c r="AC16" s="122">
        <f t="shared" si="23"/>
        <v>6.7557348122006561E-2</v>
      </c>
      <c r="AD16" s="123">
        <f t="shared" ref="AD16:AD45" si="32">MAX(+L16-V16,0)</f>
        <v>7.8021369903294309</v>
      </c>
      <c r="AE16" s="111">
        <f t="shared" si="24"/>
        <v>0.13400000000000001</v>
      </c>
      <c r="AF16" s="122">
        <f t="shared" si="25"/>
        <v>6.7557348122006561E-2</v>
      </c>
      <c r="AG16" s="127">
        <f t="shared" ref="AG16:AG45" si="33">+SUM(R16,T16,V16,X16,Z16)-P16-AB16+AE16+AG15-(AJ16-AK16)*IF(J16=0,$I$4,0.91)</f>
        <v>0</v>
      </c>
      <c r="AH16" s="128">
        <f t="shared" si="26"/>
        <v>0</v>
      </c>
      <c r="AI16" s="111">
        <f t="shared" si="27"/>
        <v>0</v>
      </c>
      <c r="AJ16" s="125">
        <f t="shared" si="28"/>
        <v>0.23103448275862071</v>
      </c>
      <c r="AK16" s="124">
        <f t="shared" ref="AK16:AK45" si="34">MIN(34.7-AI16,AJ16,E15)</f>
        <v>0.23103448275862071</v>
      </c>
      <c r="AL16" s="126">
        <f t="shared" ref="AL16:AL45" si="35">AK16/1.9835</f>
        <v>0.11647818641725269</v>
      </c>
      <c r="AM16" s="64"/>
    </row>
    <row r="17" spans="1:39">
      <c r="A17" s="65">
        <f>'all downloaded data crosstab'!A6</f>
        <v>40089</v>
      </c>
      <c r="B17" s="106">
        <f t="shared" si="29"/>
        <v>5.4660000000000002</v>
      </c>
      <c r="C17" s="51">
        <f t="shared" si="0"/>
        <v>16.774538055737132</v>
      </c>
      <c r="D17" s="108">
        <f t="shared" si="3"/>
        <v>4.5430000000000001</v>
      </c>
      <c r="E17" s="51">
        <f t="shared" si="1"/>
        <v>13.941955065351955</v>
      </c>
      <c r="F17" s="52">
        <f t="shared" si="2"/>
        <v>30.716493121089087</v>
      </c>
      <c r="G17" s="109">
        <f t="shared" si="4"/>
        <v>4.8499999999999996</v>
      </c>
      <c r="H17" s="61">
        <f t="shared" si="5"/>
        <v>14.884103470604662</v>
      </c>
      <c r="I17" s="61">
        <f t="shared" si="6"/>
        <v>0</v>
      </c>
      <c r="J17" s="119">
        <v>0</v>
      </c>
      <c r="K17" s="61">
        <f t="shared" si="7"/>
        <v>8.2808164410657934</v>
      </c>
      <c r="L17" s="62">
        <f t="shared" si="8"/>
        <v>6.6032870295388673</v>
      </c>
      <c r="M17" s="63">
        <f t="shared" si="30"/>
        <v>1494.2275568487983</v>
      </c>
      <c r="N17" s="109">
        <f t="shared" si="9"/>
        <v>99999</v>
      </c>
      <c r="O17" s="121">
        <f t="shared" si="10"/>
        <v>0</v>
      </c>
      <c r="P17" s="102">
        <f t="shared" si="31"/>
        <v>0</v>
      </c>
      <c r="Q17" s="122">
        <f t="shared" si="11"/>
        <v>0</v>
      </c>
      <c r="R17" s="110">
        <f t="shared" si="12"/>
        <v>0</v>
      </c>
      <c r="S17" s="122">
        <f t="shared" si="13"/>
        <v>0</v>
      </c>
      <c r="T17" s="110">
        <f t="shared" si="14"/>
        <v>0</v>
      </c>
      <c r="U17" s="122">
        <f t="shared" si="15"/>
        <v>0</v>
      </c>
      <c r="V17" s="110">
        <f t="shared" si="16"/>
        <v>0</v>
      </c>
      <c r="W17" s="122">
        <f t="shared" si="17"/>
        <v>0</v>
      </c>
      <c r="X17" s="110">
        <f t="shared" si="18"/>
        <v>0</v>
      </c>
      <c r="Y17" s="122">
        <f t="shared" si="19"/>
        <v>0</v>
      </c>
      <c r="Z17" s="110">
        <f t="shared" si="20"/>
        <v>0</v>
      </c>
      <c r="AA17" s="122">
        <f t="shared" si="21"/>
        <v>0</v>
      </c>
      <c r="AB17" s="111">
        <f t="shared" si="22"/>
        <v>0.13400000000000001</v>
      </c>
      <c r="AC17" s="122">
        <f t="shared" si="23"/>
        <v>6.7557348122006561E-2</v>
      </c>
      <c r="AD17" s="123">
        <f t="shared" si="32"/>
        <v>6.6032870295388673</v>
      </c>
      <c r="AE17" s="111">
        <f t="shared" si="24"/>
        <v>0.13400000000000001</v>
      </c>
      <c r="AF17" s="122">
        <f t="shared" si="25"/>
        <v>6.7557348122006561E-2</v>
      </c>
      <c r="AG17" s="127">
        <f t="shared" si="33"/>
        <v>0</v>
      </c>
      <c r="AH17" s="128">
        <f t="shared" si="26"/>
        <v>0</v>
      </c>
      <c r="AI17" s="111">
        <f t="shared" si="27"/>
        <v>0</v>
      </c>
      <c r="AJ17" s="125">
        <f t="shared" si="28"/>
        <v>0.23103448275862071</v>
      </c>
      <c r="AK17" s="124">
        <f t="shared" si="34"/>
        <v>0.23103448275862071</v>
      </c>
      <c r="AL17" s="126">
        <f t="shared" si="35"/>
        <v>0.11647818641725269</v>
      </c>
      <c r="AM17" s="64"/>
    </row>
    <row r="18" spans="1:39">
      <c r="A18" s="65">
        <f>'all downloaded data crosstab'!A7</f>
        <v>40090</v>
      </c>
      <c r="B18" s="106">
        <f t="shared" si="29"/>
        <v>5.3579999999999997</v>
      </c>
      <c r="C18" s="51">
        <f t="shared" si="0"/>
        <v>16.443098225876241</v>
      </c>
      <c r="D18" s="108">
        <f t="shared" si="3"/>
        <v>4.4219999999999997</v>
      </c>
      <c r="E18" s="51">
        <f t="shared" si="1"/>
        <v>13.57061970041522</v>
      </c>
      <c r="F18" s="52">
        <f t="shared" si="2"/>
        <v>30.013717926291463</v>
      </c>
      <c r="G18" s="109">
        <f t="shared" si="4"/>
        <v>4.7990000000000004</v>
      </c>
      <c r="H18" s="61">
        <f t="shared" si="5"/>
        <v>14.7275902176148</v>
      </c>
      <c r="I18" s="61">
        <f t="shared" si="6"/>
        <v>0</v>
      </c>
      <c r="J18" s="119">
        <v>0</v>
      </c>
      <c r="K18" s="61">
        <f t="shared" si="7"/>
        <v>8.042862236935008</v>
      </c>
      <c r="L18" s="62">
        <f t="shared" si="8"/>
        <v>6.6847279806797912</v>
      </c>
      <c r="M18" s="63">
        <f t="shared" si="30"/>
        <v>1512.6564564114517</v>
      </c>
      <c r="N18" s="109">
        <f t="shared" si="9"/>
        <v>99999</v>
      </c>
      <c r="O18" s="121">
        <f t="shared" si="10"/>
        <v>0</v>
      </c>
      <c r="P18" s="102">
        <f t="shared" si="31"/>
        <v>0</v>
      </c>
      <c r="Q18" s="122">
        <f t="shared" si="11"/>
        <v>0</v>
      </c>
      <c r="R18" s="110">
        <f t="shared" si="12"/>
        <v>0</v>
      </c>
      <c r="S18" s="122">
        <f t="shared" si="13"/>
        <v>0</v>
      </c>
      <c r="T18" s="110">
        <f t="shared" si="14"/>
        <v>0</v>
      </c>
      <c r="U18" s="122">
        <f t="shared" si="15"/>
        <v>0</v>
      </c>
      <c r="V18" s="110">
        <f t="shared" si="16"/>
        <v>0</v>
      </c>
      <c r="W18" s="122">
        <f t="shared" si="17"/>
        <v>0</v>
      </c>
      <c r="X18" s="110">
        <f t="shared" si="18"/>
        <v>0</v>
      </c>
      <c r="Y18" s="122">
        <f t="shared" si="19"/>
        <v>0</v>
      </c>
      <c r="Z18" s="110">
        <f t="shared" si="20"/>
        <v>0</v>
      </c>
      <c r="AA18" s="122">
        <f t="shared" si="21"/>
        <v>0</v>
      </c>
      <c r="AB18" s="111">
        <f t="shared" si="22"/>
        <v>0.13400000000000001</v>
      </c>
      <c r="AC18" s="122">
        <f t="shared" si="23"/>
        <v>6.7557348122006561E-2</v>
      </c>
      <c r="AD18" s="123">
        <f t="shared" si="32"/>
        <v>6.6847279806797912</v>
      </c>
      <c r="AE18" s="111">
        <f t="shared" si="24"/>
        <v>0.13400000000000001</v>
      </c>
      <c r="AF18" s="122">
        <f t="shared" si="25"/>
        <v>6.7557348122006561E-2</v>
      </c>
      <c r="AG18" s="127">
        <f t="shared" si="33"/>
        <v>0</v>
      </c>
      <c r="AH18" s="128">
        <f t="shared" si="26"/>
        <v>0</v>
      </c>
      <c r="AI18" s="111">
        <f t="shared" si="27"/>
        <v>0</v>
      </c>
      <c r="AJ18" s="125">
        <f t="shared" si="28"/>
        <v>0.23103448275862071</v>
      </c>
      <c r="AK18" s="124">
        <f t="shared" si="34"/>
        <v>0.23103448275862071</v>
      </c>
      <c r="AL18" s="126">
        <f t="shared" si="35"/>
        <v>0.11647818641725269</v>
      </c>
      <c r="AM18" s="64"/>
    </row>
    <row r="19" spans="1:39">
      <c r="A19" s="65">
        <f>'all downloaded data crosstab'!A8</f>
        <v>40091</v>
      </c>
      <c r="B19" s="106">
        <f t="shared" si="29"/>
        <v>5.0529999999999999</v>
      </c>
      <c r="C19" s="51">
        <f t="shared" si="0"/>
        <v>15.50708759525059</v>
      </c>
      <c r="D19" s="108">
        <f t="shared" si="3"/>
        <v>4.68</v>
      </c>
      <c r="E19" s="51">
        <f t="shared" si="1"/>
        <v>14.362392627305118</v>
      </c>
      <c r="F19" s="52">
        <f t="shared" si="2"/>
        <v>29.869480222555708</v>
      </c>
      <c r="G19" s="109">
        <f t="shared" si="4"/>
        <v>5.3259999999999996</v>
      </c>
      <c r="H19" s="61">
        <f t="shared" si="5"/>
        <v>16.344893831843386</v>
      </c>
      <c r="I19" s="61">
        <f t="shared" si="6"/>
        <v>0</v>
      </c>
      <c r="J19" s="119">
        <v>0</v>
      </c>
      <c r="K19" s="61">
        <f t="shared" si="7"/>
        <v>8.9545952097154249</v>
      </c>
      <c r="L19" s="62">
        <f t="shared" si="8"/>
        <v>7.3902986221279603</v>
      </c>
      <c r="M19" s="63">
        <f t="shared" si="30"/>
        <v>1672.316802999318</v>
      </c>
      <c r="N19" s="109">
        <f t="shared" si="9"/>
        <v>99999</v>
      </c>
      <c r="O19" s="121">
        <f t="shared" si="10"/>
        <v>1.0189999999999999</v>
      </c>
      <c r="P19" s="102">
        <f t="shared" si="31"/>
        <v>3.127196172483742</v>
      </c>
      <c r="Q19" s="122">
        <f t="shared" si="11"/>
        <v>1.5794499999999998</v>
      </c>
      <c r="R19" s="110">
        <f t="shared" si="12"/>
        <v>0</v>
      </c>
      <c r="S19" s="122">
        <f t="shared" si="13"/>
        <v>0</v>
      </c>
      <c r="T19" s="110">
        <f t="shared" si="14"/>
        <v>0</v>
      </c>
      <c r="U19" s="122">
        <f t="shared" si="15"/>
        <v>0</v>
      </c>
      <c r="V19" s="110">
        <f t="shared" si="16"/>
        <v>3.13</v>
      </c>
      <c r="W19" s="122">
        <f t="shared" si="17"/>
        <v>1.5780186538946306</v>
      </c>
      <c r="X19" s="110">
        <f t="shared" si="18"/>
        <v>0</v>
      </c>
      <c r="Y19" s="122">
        <f t="shared" si="19"/>
        <v>0</v>
      </c>
      <c r="Z19" s="110">
        <f t="shared" si="20"/>
        <v>0</v>
      </c>
      <c r="AA19" s="122">
        <f t="shared" si="21"/>
        <v>0</v>
      </c>
      <c r="AB19" s="111">
        <f t="shared" si="22"/>
        <v>0.13400000000000001</v>
      </c>
      <c r="AC19" s="122">
        <f t="shared" si="23"/>
        <v>6.7557348122006561E-2</v>
      </c>
      <c r="AD19" s="123">
        <f t="shared" si="32"/>
        <v>4.2602986221279604</v>
      </c>
      <c r="AE19" s="111">
        <f t="shared" si="24"/>
        <v>4.26</v>
      </c>
      <c r="AF19" s="122">
        <f t="shared" si="25"/>
        <v>2.1477186791025962</v>
      </c>
      <c r="AG19" s="127">
        <f t="shared" si="33"/>
        <v>4.1288038275162577</v>
      </c>
      <c r="AH19" s="128">
        <f t="shared" si="26"/>
        <v>2.0815749067387235</v>
      </c>
      <c r="AI19" s="111">
        <f t="shared" si="27"/>
        <v>0</v>
      </c>
      <c r="AJ19" s="125">
        <f t="shared" si="28"/>
        <v>12.741379310344827</v>
      </c>
      <c r="AK19" s="124">
        <f t="shared" si="34"/>
        <v>12.741379310344827</v>
      </c>
      <c r="AL19" s="126">
        <f t="shared" si="35"/>
        <v>6.4236850568917703</v>
      </c>
      <c r="AM19" s="64"/>
    </row>
    <row r="20" spans="1:39">
      <c r="A20" s="65">
        <f>'all downloaded data crosstab'!A9</f>
        <v>40092</v>
      </c>
      <c r="B20" s="106">
        <f t="shared" si="29"/>
        <v>3.9580000000000002</v>
      </c>
      <c r="C20" s="51">
        <f t="shared" si="0"/>
        <v>12.146655986938816</v>
      </c>
      <c r="D20" s="108">
        <f t="shared" si="3"/>
        <v>4.6360000000000001</v>
      </c>
      <c r="E20" s="51">
        <f t="shared" si="1"/>
        <v>14.227361585509941</v>
      </c>
      <c r="F20" s="52">
        <f t="shared" si="2"/>
        <v>26.374017572448757</v>
      </c>
      <c r="G20" s="109">
        <f t="shared" si="4"/>
        <v>5.484</v>
      </c>
      <c r="H20" s="61">
        <f t="shared" si="5"/>
        <v>16.829778027380613</v>
      </c>
      <c r="I20" s="61">
        <f t="shared" si="6"/>
        <v>0</v>
      </c>
      <c r="J20" s="119">
        <v>0</v>
      </c>
      <c r="K20" s="61">
        <f t="shared" si="7"/>
        <v>8.7373747428700543</v>
      </c>
      <c r="L20" s="62">
        <f t="shared" si="8"/>
        <v>8.0924032845105582</v>
      </c>
      <c r="M20" s="63">
        <f t="shared" si="30"/>
        <v>1831.1928490701735</v>
      </c>
      <c r="N20" s="109">
        <f t="shared" si="9"/>
        <v>99999</v>
      </c>
      <c r="O20" s="121">
        <f t="shared" si="10"/>
        <v>1.74</v>
      </c>
      <c r="P20" s="102">
        <f t="shared" si="31"/>
        <v>5.3398639255365179</v>
      </c>
      <c r="Q20" s="122">
        <f t="shared" si="11"/>
        <v>2.6970000000000001</v>
      </c>
      <c r="R20" s="110">
        <f t="shared" si="12"/>
        <v>0</v>
      </c>
      <c r="S20" s="122">
        <f t="shared" si="13"/>
        <v>0</v>
      </c>
      <c r="T20" s="110">
        <f t="shared" si="14"/>
        <v>0</v>
      </c>
      <c r="U20" s="122">
        <f t="shared" si="15"/>
        <v>0</v>
      </c>
      <c r="V20" s="110">
        <f t="shared" si="16"/>
        <v>5.34</v>
      </c>
      <c r="W20" s="122">
        <f t="shared" si="17"/>
        <v>2.6922107385933955</v>
      </c>
      <c r="X20" s="110">
        <f t="shared" si="18"/>
        <v>0</v>
      </c>
      <c r="Y20" s="122">
        <f t="shared" si="19"/>
        <v>0</v>
      </c>
      <c r="Z20" s="110">
        <f t="shared" si="20"/>
        <v>0</v>
      </c>
      <c r="AA20" s="122">
        <f t="shared" si="21"/>
        <v>0</v>
      </c>
      <c r="AB20" s="111">
        <f t="shared" si="22"/>
        <v>0.13400000000000001</v>
      </c>
      <c r="AC20" s="122">
        <f t="shared" si="23"/>
        <v>6.7557348122006561E-2</v>
      </c>
      <c r="AD20" s="123">
        <f t="shared" si="32"/>
        <v>2.7524032845105584</v>
      </c>
      <c r="AE20" s="111">
        <f t="shared" si="24"/>
        <v>0.13</v>
      </c>
      <c r="AF20" s="122">
        <f t="shared" si="25"/>
        <v>6.5540710864633228E-2</v>
      </c>
      <c r="AG20" s="127">
        <f t="shared" si="33"/>
        <v>4.1249399019797401</v>
      </c>
      <c r="AH20" s="128">
        <f t="shared" si="26"/>
        <v>2.079626872689559</v>
      </c>
      <c r="AI20" s="111">
        <f t="shared" si="27"/>
        <v>0</v>
      </c>
      <c r="AJ20" s="125">
        <f t="shared" si="28"/>
        <v>9.431034482758621</v>
      </c>
      <c r="AK20" s="124">
        <f t="shared" si="34"/>
        <v>9.431034482758621</v>
      </c>
      <c r="AL20" s="126">
        <f t="shared" si="35"/>
        <v>4.7547438783759119</v>
      </c>
      <c r="AM20" s="64"/>
    </row>
    <row r="21" spans="1:39">
      <c r="A21" s="65">
        <f>'all downloaded data crosstab'!A10</f>
        <v>40093</v>
      </c>
      <c r="B21" s="106">
        <f t="shared" si="29"/>
        <v>2.5960000000000001</v>
      </c>
      <c r="C21" s="51">
        <f t="shared" si="0"/>
        <v>7.9668314659154031</v>
      </c>
      <c r="D21" s="108">
        <f t="shared" si="3"/>
        <v>4.8410000000000002</v>
      </c>
      <c r="E21" s="51">
        <f t="shared" si="1"/>
        <v>14.856483484782922</v>
      </c>
      <c r="F21" s="52">
        <f t="shared" si="2"/>
        <v>22.823314950698325</v>
      </c>
      <c r="G21" s="109">
        <f t="shared" si="4"/>
        <v>5.4359999999999999</v>
      </c>
      <c r="H21" s="61">
        <f t="shared" si="5"/>
        <v>16.68247143633133</v>
      </c>
      <c r="I21" s="61">
        <f t="shared" si="6"/>
        <v>1.3855412443110513</v>
      </c>
      <c r="J21" s="119">
        <v>0</v>
      </c>
      <c r="K21" s="61">
        <f t="shared" si="7"/>
        <v>7.0450604724245123</v>
      </c>
      <c r="L21" s="62">
        <f t="shared" si="8"/>
        <v>8.2518697195957653</v>
      </c>
      <c r="M21" s="63">
        <f t="shared" si="30"/>
        <v>1867.2777777777774</v>
      </c>
      <c r="N21" s="109">
        <f t="shared" si="9"/>
        <v>99999</v>
      </c>
      <c r="O21" s="121">
        <f t="shared" si="10"/>
        <v>1.7230000000000001</v>
      </c>
      <c r="P21" s="102">
        <f t="shared" si="31"/>
        <v>5.2876928412065638</v>
      </c>
      <c r="Q21" s="122">
        <f t="shared" si="11"/>
        <v>2.6706500000000002</v>
      </c>
      <c r="R21" s="110">
        <f t="shared" si="12"/>
        <v>0</v>
      </c>
      <c r="S21" s="122">
        <f t="shared" si="13"/>
        <v>0</v>
      </c>
      <c r="T21" s="110">
        <f t="shared" si="14"/>
        <v>0</v>
      </c>
      <c r="U21" s="122">
        <f t="shared" si="15"/>
        <v>0</v>
      </c>
      <c r="V21" s="110">
        <f t="shared" si="16"/>
        <v>5.29</v>
      </c>
      <c r="W21" s="122">
        <f t="shared" si="17"/>
        <v>2.6670027728762289</v>
      </c>
      <c r="X21" s="110">
        <f t="shared" si="18"/>
        <v>0</v>
      </c>
      <c r="Y21" s="122">
        <f t="shared" si="19"/>
        <v>0</v>
      </c>
      <c r="Z21" s="110">
        <f t="shared" si="20"/>
        <v>0</v>
      </c>
      <c r="AA21" s="122">
        <f t="shared" si="21"/>
        <v>0</v>
      </c>
      <c r="AB21" s="111">
        <f t="shared" si="22"/>
        <v>0.13400000000000001</v>
      </c>
      <c r="AC21" s="122">
        <f t="shared" si="23"/>
        <v>6.7557348122006561E-2</v>
      </c>
      <c r="AD21" s="123">
        <f t="shared" si="32"/>
        <v>2.9618697195957653</v>
      </c>
      <c r="AE21" s="111">
        <f t="shared" si="24"/>
        <v>0.13</v>
      </c>
      <c r="AF21" s="122">
        <f t="shared" si="25"/>
        <v>6.5540710864633228E-2</v>
      </c>
      <c r="AG21" s="127">
        <f t="shared" si="33"/>
        <v>4.1232470607731759</v>
      </c>
      <c r="AH21" s="128">
        <f t="shared" si="26"/>
        <v>2.0787734110275653</v>
      </c>
      <c r="AI21" s="111">
        <f t="shared" si="27"/>
        <v>0</v>
      </c>
      <c r="AJ21" s="125">
        <f t="shared" si="28"/>
        <v>9.3448275862068968</v>
      </c>
      <c r="AK21" s="124">
        <f t="shared" si="34"/>
        <v>9.3448275862068968</v>
      </c>
      <c r="AL21" s="126">
        <f t="shared" si="35"/>
        <v>4.7112818685187277</v>
      </c>
      <c r="AM21" s="64"/>
    </row>
    <row r="22" spans="1:39">
      <c r="A22" s="65">
        <f>'all downloaded data crosstab'!A11</f>
        <v>40094</v>
      </c>
      <c r="B22" s="106">
        <f t="shared" si="29"/>
        <v>0.96399999999999997</v>
      </c>
      <c r="C22" s="51">
        <f t="shared" si="0"/>
        <v>2.958407370239772</v>
      </c>
      <c r="D22" s="108">
        <f t="shared" si="3"/>
        <v>4.907</v>
      </c>
      <c r="E22" s="51">
        <f t="shared" si="1"/>
        <v>15.059030047475687</v>
      </c>
      <c r="F22" s="52">
        <f t="shared" si="2"/>
        <v>18.01743741771546</v>
      </c>
      <c r="G22" s="109">
        <f t="shared" si="4"/>
        <v>5.3739999999999997</v>
      </c>
      <c r="H22" s="61">
        <f t="shared" si="5"/>
        <v>16.492200422892672</v>
      </c>
      <c r="I22" s="61">
        <f t="shared" si="6"/>
        <v>3.2546777514876446</v>
      </c>
      <c r="J22" s="119">
        <v>0</v>
      </c>
      <c r="K22" s="61">
        <f t="shared" si="7"/>
        <v>4.6207622502309329</v>
      </c>
      <c r="L22" s="62">
        <f t="shared" si="8"/>
        <v>8.616760421174094</v>
      </c>
      <c r="M22" s="63">
        <f t="shared" si="30"/>
        <v>1949.8472222222219</v>
      </c>
      <c r="N22" s="109">
        <f t="shared" si="9"/>
        <v>99999</v>
      </c>
      <c r="O22" s="121">
        <f t="shared" si="10"/>
        <v>1.7330000000000001</v>
      </c>
      <c r="P22" s="102">
        <f t="shared" si="31"/>
        <v>5.3183817143418315</v>
      </c>
      <c r="Q22" s="122">
        <f t="shared" si="11"/>
        <v>2.68615</v>
      </c>
      <c r="R22" s="110">
        <f t="shared" si="12"/>
        <v>0</v>
      </c>
      <c r="S22" s="122">
        <f t="shared" si="13"/>
        <v>0</v>
      </c>
      <c r="T22" s="110">
        <f t="shared" si="14"/>
        <v>0</v>
      </c>
      <c r="U22" s="122">
        <f t="shared" si="15"/>
        <v>0</v>
      </c>
      <c r="V22" s="110">
        <f t="shared" si="16"/>
        <v>5.32</v>
      </c>
      <c r="W22" s="122">
        <f t="shared" si="17"/>
        <v>2.6821275523065289</v>
      </c>
      <c r="X22" s="110">
        <f t="shared" si="18"/>
        <v>0</v>
      </c>
      <c r="Y22" s="122">
        <f t="shared" si="19"/>
        <v>0</v>
      </c>
      <c r="Z22" s="110">
        <f t="shared" si="20"/>
        <v>0</v>
      </c>
      <c r="AA22" s="122">
        <f t="shared" si="21"/>
        <v>0</v>
      </c>
      <c r="AB22" s="111">
        <f t="shared" si="22"/>
        <v>0.13400000000000001</v>
      </c>
      <c r="AC22" s="122">
        <f t="shared" si="23"/>
        <v>6.7557348122006561E-2</v>
      </c>
      <c r="AD22" s="123">
        <f t="shared" si="32"/>
        <v>3.2967604211740937</v>
      </c>
      <c r="AE22" s="111">
        <f t="shared" si="24"/>
        <v>1.1299999999999999</v>
      </c>
      <c r="AF22" s="122">
        <f t="shared" si="25"/>
        <v>0.5697000252079657</v>
      </c>
      <c r="AG22" s="127">
        <f t="shared" si="33"/>
        <v>5.1208653464313443</v>
      </c>
      <c r="AH22" s="128">
        <f t="shared" si="26"/>
        <v>2.5817319619013581</v>
      </c>
      <c r="AI22" s="111">
        <f t="shared" si="27"/>
        <v>0</v>
      </c>
      <c r="AJ22" s="125">
        <f t="shared" si="28"/>
        <v>11.120689655172415</v>
      </c>
      <c r="AK22" s="124">
        <f t="shared" si="34"/>
        <v>11.120689655172415</v>
      </c>
      <c r="AL22" s="126">
        <f t="shared" si="35"/>
        <v>5.606599271576715</v>
      </c>
      <c r="AM22" s="64"/>
    </row>
    <row r="23" spans="1:39">
      <c r="A23" s="65">
        <f>'all downloaded data crosstab'!A12</f>
        <v>40095</v>
      </c>
      <c r="B23" s="106">
        <f t="shared" si="29"/>
        <v>1.8819999999999999</v>
      </c>
      <c r="C23" s="51">
        <f t="shared" si="0"/>
        <v>5.7756459240573141</v>
      </c>
      <c r="D23" s="108">
        <f t="shared" si="3"/>
        <v>3.8450000000000002</v>
      </c>
      <c r="E23" s="51">
        <f t="shared" si="1"/>
        <v>11.799871720510295</v>
      </c>
      <c r="F23" s="52">
        <f t="shared" si="2"/>
        <v>17.575517644567608</v>
      </c>
      <c r="G23" s="109">
        <f t="shared" si="4"/>
        <v>5.8390000000000004</v>
      </c>
      <c r="H23" s="61">
        <f t="shared" si="5"/>
        <v>17.919233023682605</v>
      </c>
      <c r="I23" s="61">
        <f t="shared" si="6"/>
        <v>7.4691193214076392</v>
      </c>
      <c r="J23" s="119">
        <v>0</v>
      </c>
      <c r="K23" s="61">
        <f t="shared" si="7"/>
        <v>1.7158762747390675</v>
      </c>
      <c r="L23" s="62">
        <f t="shared" si="8"/>
        <v>8.7342374275358967</v>
      </c>
      <c r="M23" s="63">
        <f t="shared" si="30"/>
        <v>1976.4305555555552</v>
      </c>
      <c r="N23" s="109">
        <f t="shared" si="9"/>
        <v>99999</v>
      </c>
      <c r="O23" s="121">
        <f t="shared" si="10"/>
        <v>1.7330000000000001</v>
      </c>
      <c r="P23" s="102">
        <f t="shared" si="31"/>
        <v>5.3183817143418315</v>
      </c>
      <c r="Q23" s="122">
        <f t="shared" si="11"/>
        <v>2.68615</v>
      </c>
      <c r="R23" s="110">
        <f t="shared" si="12"/>
        <v>0</v>
      </c>
      <c r="S23" s="122">
        <f t="shared" si="13"/>
        <v>0</v>
      </c>
      <c r="T23" s="110">
        <f t="shared" si="14"/>
        <v>0</v>
      </c>
      <c r="U23" s="122">
        <f t="shared" si="15"/>
        <v>0</v>
      </c>
      <c r="V23" s="110">
        <f t="shared" si="16"/>
        <v>5.32</v>
      </c>
      <c r="W23" s="122">
        <f t="shared" si="17"/>
        <v>2.6821275523065289</v>
      </c>
      <c r="X23" s="110">
        <f t="shared" si="18"/>
        <v>0</v>
      </c>
      <c r="Y23" s="122">
        <f t="shared" si="19"/>
        <v>0</v>
      </c>
      <c r="Z23" s="110">
        <f t="shared" si="20"/>
        <v>0</v>
      </c>
      <c r="AA23" s="122">
        <f t="shared" si="21"/>
        <v>0</v>
      </c>
      <c r="AB23" s="111">
        <f t="shared" si="22"/>
        <v>0.13400000000000001</v>
      </c>
      <c r="AC23" s="122">
        <f t="shared" si="23"/>
        <v>6.7557348122006561E-2</v>
      </c>
      <c r="AD23" s="123">
        <f t="shared" si="32"/>
        <v>3.4142374275358964</v>
      </c>
      <c r="AE23" s="111">
        <f t="shared" si="24"/>
        <v>1.2</v>
      </c>
      <c r="AF23" s="122">
        <f t="shared" si="25"/>
        <v>0.60499117721199891</v>
      </c>
      <c r="AG23" s="127">
        <f t="shared" si="33"/>
        <v>6.1884836320895129</v>
      </c>
      <c r="AH23" s="128">
        <f t="shared" si="26"/>
        <v>3.1199816647791847</v>
      </c>
      <c r="AI23" s="111">
        <f t="shared" si="27"/>
        <v>0</v>
      </c>
      <c r="AJ23" s="125">
        <f t="shared" si="28"/>
        <v>11.241379310344829</v>
      </c>
      <c r="AK23" s="124">
        <f t="shared" si="34"/>
        <v>11.241379310344829</v>
      </c>
      <c r="AL23" s="126">
        <f t="shared" si="35"/>
        <v>5.6674460853767732</v>
      </c>
      <c r="AM23" s="64"/>
    </row>
    <row r="24" spans="1:39">
      <c r="A24" s="65">
        <f>'all downloaded data crosstab'!A13</f>
        <v>40096</v>
      </c>
      <c r="B24" s="106">
        <f t="shared" si="29"/>
        <v>1.6990000000000001</v>
      </c>
      <c r="C24" s="51">
        <f t="shared" si="0"/>
        <v>5.2140395456819224</v>
      </c>
      <c r="D24" s="108">
        <f t="shared" si="3"/>
        <v>2.8220000000000001</v>
      </c>
      <c r="E24" s="51">
        <f t="shared" si="1"/>
        <v>8.660399998772446</v>
      </c>
      <c r="F24" s="52">
        <f t="shared" si="2"/>
        <v>13.874439544454368</v>
      </c>
      <c r="G24" s="109">
        <f t="shared" si="4"/>
        <v>5.8170000000000002</v>
      </c>
      <c r="H24" s="61">
        <f t="shared" si="5"/>
        <v>17.851717502785014</v>
      </c>
      <c r="I24" s="61">
        <f t="shared" si="6"/>
        <v>7.6579172689358028</v>
      </c>
      <c r="J24" s="119">
        <v>0</v>
      </c>
      <c r="K24" s="61">
        <f t="shared" si="7"/>
        <v>3.3498746359532419</v>
      </c>
      <c r="L24" s="62">
        <f t="shared" si="8"/>
        <v>6.8439255978959697</v>
      </c>
      <c r="M24" s="63">
        <f t="shared" si="30"/>
        <v>1548.6805555555552</v>
      </c>
      <c r="N24" s="109">
        <f t="shared" si="9"/>
        <v>99999</v>
      </c>
      <c r="O24" s="121">
        <f t="shared" si="10"/>
        <v>1.7330000000000001</v>
      </c>
      <c r="P24" s="102">
        <f t="shared" si="31"/>
        <v>5.3183817143418315</v>
      </c>
      <c r="Q24" s="122">
        <f t="shared" si="11"/>
        <v>2.68615</v>
      </c>
      <c r="R24" s="110">
        <f t="shared" si="12"/>
        <v>0</v>
      </c>
      <c r="S24" s="122">
        <f t="shared" si="13"/>
        <v>0</v>
      </c>
      <c r="T24" s="110">
        <f t="shared" si="14"/>
        <v>0</v>
      </c>
      <c r="U24" s="122">
        <f t="shared" si="15"/>
        <v>0</v>
      </c>
      <c r="V24" s="110">
        <f t="shared" si="16"/>
        <v>5.32</v>
      </c>
      <c r="W24" s="122">
        <f t="shared" si="17"/>
        <v>2.6821275523065289</v>
      </c>
      <c r="X24" s="110">
        <f t="shared" si="18"/>
        <v>0</v>
      </c>
      <c r="Y24" s="122">
        <f t="shared" si="19"/>
        <v>0</v>
      </c>
      <c r="Z24" s="110">
        <f t="shared" si="20"/>
        <v>0</v>
      </c>
      <c r="AA24" s="122">
        <f t="shared" si="21"/>
        <v>0</v>
      </c>
      <c r="AB24" s="111">
        <f t="shared" si="22"/>
        <v>0.13400000000000001</v>
      </c>
      <c r="AC24" s="122">
        <f t="shared" si="23"/>
        <v>6.7557348122006561E-2</v>
      </c>
      <c r="AD24" s="123">
        <f t="shared" si="32"/>
        <v>1.5239255978959694</v>
      </c>
      <c r="AE24" s="111">
        <f t="shared" si="24"/>
        <v>0.59</v>
      </c>
      <c r="AF24" s="122">
        <f t="shared" si="25"/>
        <v>0.29745399546256612</v>
      </c>
      <c r="AG24" s="127">
        <f t="shared" si="33"/>
        <v>6.6461019177476821</v>
      </c>
      <c r="AH24" s="128">
        <f t="shared" si="26"/>
        <v>3.3506941859075785</v>
      </c>
      <c r="AI24" s="111">
        <f t="shared" si="27"/>
        <v>0</v>
      </c>
      <c r="AJ24" s="125">
        <f t="shared" si="28"/>
        <v>10.189655172413794</v>
      </c>
      <c r="AK24" s="124">
        <f t="shared" si="34"/>
        <v>10.189655172413794</v>
      </c>
      <c r="AL24" s="126">
        <f t="shared" si="35"/>
        <v>5.1372095651191296</v>
      </c>
      <c r="AM24" s="64"/>
    </row>
    <row r="25" spans="1:39">
      <c r="A25" s="65">
        <f>'all downloaded data crosstab'!A14</f>
        <v>40097</v>
      </c>
      <c r="B25" s="106">
        <f t="shared" si="29"/>
        <v>4.1319999999999997</v>
      </c>
      <c r="C25" s="51">
        <f t="shared" si="0"/>
        <v>12.680642379492467</v>
      </c>
      <c r="D25" s="108">
        <f t="shared" si="3"/>
        <v>1.833</v>
      </c>
      <c r="E25" s="51">
        <f t="shared" si="1"/>
        <v>5.625270445694504</v>
      </c>
      <c r="F25" s="52">
        <f t="shared" si="2"/>
        <v>18.305912825186972</v>
      </c>
      <c r="G25" s="109">
        <f t="shared" si="4"/>
        <v>5.5970000000000004</v>
      </c>
      <c r="H25" s="61">
        <f t="shared" si="5"/>
        <v>17.176562293809134</v>
      </c>
      <c r="I25" s="61">
        <f t="shared" si="6"/>
        <v>9.1293873580256015</v>
      </c>
      <c r="J25" s="119">
        <v>0</v>
      </c>
      <c r="K25" s="61">
        <f t="shared" si="7"/>
        <v>3.0241429364955148</v>
      </c>
      <c r="L25" s="62">
        <f t="shared" si="8"/>
        <v>5.0230319992880181</v>
      </c>
      <c r="M25" s="63">
        <f t="shared" si="30"/>
        <v>1136.6388888888889</v>
      </c>
      <c r="N25" s="109">
        <f t="shared" si="9"/>
        <v>99999</v>
      </c>
      <c r="O25" s="121">
        <f t="shared" si="10"/>
        <v>1.7350000000000001</v>
      </c>
      <c r="P25" s="102">
        <f t="shared" si="31"/>
        <v>5.3245194889688845</v>
      </c>
      <c r="Q25" s="122">
        <f t="shared" si="11"/>
        <v>2.6892500000000004</v>
      </c>
      <c r="R25" s="110">
        <f t="shared" si="12"/>
        <v>0</v>
      </c>
      <c r="S25" s="122">
        <f t="shared" si="13"/>
        <v>0</v>
      </c>
      <c r="T25" s="110">
        <f t="shared" si="14"/>
        <v>0</v>
      </c>
      <c r="U25" s="122">
        <f t="shared" si="15"/>
        <v>0</v>
      </c>
      <c r="V25" s="110">
        <f t="shared" si="16"/>
        <v>5.0199999999999996</v>
      </c>
      <c r="W25" s="122">
        <f t="shared" si="17"/>
        <v>2.5308797580035289</v>
      </c>
      <c r="X25" s="110">
        <f t="shared" si="18"/>
        <v>0</v>
      </c>
      <c r="Y25" s="122">
        <f t="shared" si="19"/>
        <v>0</v>
      </c>
      <c r="Z25" s="110">
        <f t="shared" si="20"/>
        <v>0</v>
      </c>
      <c r="AA25" s="122">
        <f t="shared" si="21"/>
        <v>0</v>
      </c>
      <c r="AB25" s="111">
        <f t="shared" si="22"/>
        <v>0.13400000000000001</v>
      </c>
      <c r="AC25" s="122">
        <f t="shared" si="23"/>
        <v>6.7557348122006561E-2</v>
      </c>
      <c r="AD25" s="123">
        <f t="shared" si="32"/>
        <v>3.0319992880185609E-3</v>
      </c>
      <c r="AE25" s="111">
        <f t="shared" si="24"/>
        <v>0</v>
      </c>
      <c r="AF25" s="122">
        <f t="shared" si="25"/>
        <v>0</v>
      </c>
      <c r="AG25" s="127">
        <f t="shared" si="33"/>
        <v>6.2075824287787968</v>
      </c>
      <c r="AH25" s="128">
        <f t="shared" si="26"/>
        <v>3.1296105010228366</v>
      </c>
      <c r="AI25" s="111">
        <f t="shared" si="27"/>
        <v>0</v>
      </c>
      <c r="AJ25" s="125">
        <f t="shared" si="28"/>
        <v>8.6551724137931032</v>
      </c>
      <c r="AK25" s="124">
        <f t="shared" si="34"/>
        <v>8.6551724137931032</v>
      </c>
      <c r="AL25" s="126">
        <f t="shared" si="35"/>
        <v>4.3635857896612569</v>
      </c>
      <c r="AM25" s="64"/>
    </row>
    <row r="26" spans="1:39">
      <c r="A26" s="65">
        <f>'all downloaded data crosstab'!A15</f>
        <v>40098</v>
      </c>
      <c r="B26" s="106">
        <f t="shared" si="29"/>
        <v>2.4990000000000001</v>
      </c>
      <c r="C26" s="51">
        <f t="shared" si="0"/>
        <v>7.6691493965033102</v>
      </c>
      <c r="D26" s="108">
        <f t="shared" si="3"/>
        <v>1.9419999999999999</v>
      </c>
      <c r="E26" s="51">
        <f t="shared" si="1"/>
        <v>5.9597791628689185</v>
      </c>
      <c r="F26" s="52">
        <f t="shared" si="2"/>
        <v>13.628928559372229</v>
      </c>
      <c r="G26" s="109">
        <f t="shared" si="4"/>
        <v>5.4359999999999999</v>
      </c>
      <c r="H26" s="61">
        <f t="shared" si="5"/>
        <v>16.68247143633133</v>
      </c>
      <c r="I26" s="61">
        <f t="shared" si="6"/>
        <v>6.0650419977228864</v>
      </c>
      <c r="J26" s="119">
        <v>0</v>
      </c>
      <c r="K26" s="61">
        <f t="shared" si="7"/>
        <v>7.3547725801056298</v>
      </c>
      <c r="L26" s="62">
        <f t="shared" si="8"/>
        <v>3.2626568585028122</v>
      </c>
      <c r="M26" s="63">
        <f t="shared" si="30"/>
        <v>738.29166666666652</v>
      </c>
      <c r="N26" s="109">
        <f t="shared" si="9"/>
        <v>99999</v>
      </c>
      <c r="O26" s="121">
        <f t="shared" si="10"/>
        <v>1.58</v>
      </c>
      <c r="P26" s="102">
        <f t="shared" si="31"/>
        <v>4.8488419553722411</v>
      </c>
      <c r="Q26" s="122">
        <f t="shared" si="11"/>
        <v>2.4490000000000003</v>
      </c>
      <c r="R26" s="110">
        <f t="shared" si="12"/>
        <v>0</v>
      </c>
      <c r="S26" s="122">
        <f t="shared" si="13"/>
        <v>0</v>
      </c>
      <c r="T26" s="110">
        <f t="shared" si="14"/>
        <v>0</v>
      </c>
      <c r="U26" s="122">
        <f t="shared" si="15"/>
        <v>0</v>
      </c>
      <c r="V26" s="110">
        <f t="shared" si="16"/>
        <v>3.26</v>
      </c>
      <c r="W26" s="122">
        <f t="shared" si="17"/>
        <v>1.6435593647592639</v>
      </c>
      <c r="X26" s="110">
        <f t="shared" si="18"/>
        <v>0</v>
      </c>
      <c r="Y26" s="122">
        <f t="shared" si="19"/>
        <v>0</v>
      </c>
      <c r="Z26" s="110">
        <f t="shared" si="20"/>
        <v>0</v>
      </c>
      <c r="AA26" s="122">
        <f t="shared" si="21"/>
        <v>0</v>
      </c>
      <c r="AB26" s="111">
        <f t="shared" si="22"/>
        <v>0.13500000000000001</v>
      </c>
      <c r="AC26" s="122">
        <f t="shared" si="23"/>
        <v>6.8061507436349894E-2</v>
      </c>
      <c r="AD26" s="123">
        <f t="shared" si="32"/>
        <v>2.656858502812387E-3</v>
      </c>
      <c r="AE26" s="111">
        <f t="shared" si="24"/>
        <v>0</v>
      </c>
      <c r="AF26" s="122">
        <f t="shared" si="25"/>
        <v>0</v>
      </c>
      <c r="AG26" s="127">
        <f t="shared" si="33"/>
        <v>4.4837404734065558</v>
      </c>
      <c r="AH26" s="128">
        <f t="shared" si="26"/>
        <v>2.2605195227660984</v>
      </c>
      <c r="AI26" s="111">
        <f t="shared" si="27"/>
        <v>0</v>
      </c>
      <c r="AJ26" s="125">
        <f t="shared" si="28"/>
        <v>5.6206896551724137</v>
      </c>
      <c r="AK26" s="124">
        <f t="shared" si="34"/>
        <v>5.6206896551724137</v>
      </c>
      <c r="AL26" s="126">
        <f t="shared" si="35"/>
        <v>2.8337230426883862</v>
      </c>
      <c r="AM26" s="64"/>
    </row>
    <row r="27" spans="1:39">
      <c r="A27" s="65">
        <f>'all downloaded data crosstab'!A16</f>
        <v>40099</v>
      </c>
      <c r="B27" s="106">
        <f t="shared" si="29"/>
        <v>4.141</v>
      </c>
      <c r="C27" s="51">
        <f t="shared" si="0"/>
        <v>12.708262365314209</v>
      </c>
      <c r="D27" s="108">
        <f t="shared" si="3"/>
        <v>1.4339999999999999</v>
      </c>
      <c r="E27" s="51">
        <f t="shared" si="1"/>
        <v>4.400784407597337</v>
      </c>
      <c r="F27" s="52">
        <f t="shared" si="2"/>
        <v>17.109046772911547</v>
      </c>
      <c r="G27" s="109">
        <f t="shared" si="4"/>
        <v>5.1319999999999997</v>
      </c>
      <c r="H27" s="61">
        <f t="shared" si="5"/>
        <v>15.7495296930192</v>
      </c>
      <c r="I27" s="61">
        <f t="shared" si="6"/>
        <v>7.844751128583308</v>
      </c>
      <c r="J27" s="119">
        <v>0</v>
      </c>
      <c r="K27" s="61">
        <f t="shared" si="7"/>
        <v>4.4481066499719191</v>
      </c>
      <c r="L27" s="62">
        <f t="shared" si="8"/>
        <v>3.4566719144639726</v>
      </c>
      <c r="M27" s="63">
        <f t="shared" si="30"/>
        <v>782.19444444444446</v>
      </c>
      <c r="N27" s="109">
        <f t="shared" si="9"/>
        <v>99999</v>
      </c>
      <c r="O27" s="121">
        <f t="shared" si="10"/>
        <v>1.2010000000000001</v>
      </c>
      <c r="P27" s="102">
        <f t="shared" si="31"/>
        <v>3.6857336635456086</v>
      </c>
      <c r="Q27" s="122">
        <f t="shared" si="11"/>
        <v>1.8615500000000003</v>
      </c>
      <c r="R27" s="110">
        <f t="shared" si="12"/>
        <v>0</v>
      </c>
      <c r="S27" s="122">
        <f t="shared" si="13"/>
        <v>0</v>
      </c>
      <c r="T27" s="110">
        <f t="shared" si="14"/>
        <v>0</v>
      </c>
      <c r="U27" s="122">
        <f t="shared" si="15"/>
        <v>0</v>
      </c>
      <c r="V27" s="110">
        <f t="shared" si="16"/>
        <v>3.46</v>
      </c>
      <c r="W27" s="122">
        <f t="shared" si="17"/>
        <v>1.7443912276279303</v>
      </c>
      <c r="X27" s="110">
        <f t="shared" si="18"/>
        <v>0</v>
      </c>
      <c r="Y27" s="122">
        <f t="shared" si="19"/>
        <v>0</v>
      </c>
      <c r="Z27" s="110">
        <f t="shared" si="20"/>
        <v>0</v>
      </c>
      <c r="AA27" s="122">
        <f t="shared" si="21"/>
        <v>0</v>
      </c>
      <c r="AB27" s="111">
        <f t="shared" si="22"/>
        <v>0.13500000000000001</v>
      </c>
      <c r="AC27" s="122">
        <f t="shared" si="23"/>
        <v>6.8061507436349894E-2</v>
      </c>
      <c r="AD27" s="123">
        <f t="shared" si="32"/>
        <v>0</v>
      </c>
      <c r="AE27" s="111">
        <f t="shared" si="24"/>
        <v>0</v>
      </c>
      <c r="AF27" s="122">
        <f t="shared" si="25"/>
        <v>0</v>
      </c>
      <c r="AG27" s="127">
        <f t="shared" si="33"/>
        <v>4.1196787243249204</v>
      </c>
      <c r="AH27" s="128">
        <f t="shared" si="26"/>
        <v>2.0769744009704665</v>
      </c>
      <c r="AI27" s="111">
        <f t="shared" si="27"/>
        <v>0</v>
      </c>
      <c r="AJ27" s="125">
        <f t="shared" si="28"/>
        <v>5.9655172413793105</v>
      </c>
      <c r="AK27" s="124">
        <f t="shared" si="34"/>
        <v>5.9597791628689185</v>
      </c>
      <c r="AL27" s="126">
        <f t="shared" si="35"/>
        <v>3.0046781763896742</v>
      </c>
      <c r="AM27" s="64"/>
    </row>
    <row r="28" spans="1:39">
      <c r="A28" s="65">
        <f>'all downloaded data crosstab'!A17</f>
        <v>40100</v>
      </c>
      <c r="B28" s="106">
        <f t="shared" si="29"/>
        <v>4.1349999999999998</v>
      </c>
      <c r="C28" s="51">
        <f t="shared" si="0"/>
        <v>12.689849041433046</v>
      </c>
      <c r="D28" s="108">
        <f t="shared" si="3"/>
        <v>1.5429999999999999</v>
      </c>
      <c r="E28" s="51">
        <f t="shared" si="1"/>
        <v>4.7352931247717516</v>
      </c>
      <c r="F28" s="52">
        <f t="shared" si="2"/>
        <v>17.425142166204797</v>
      </c>
      <c r="G28" s="109">
        <f t="shared" si="4"/>
        <v>5.0990000000000002</v>
      </c>
      <c r="H28" s="61">
        <f t="shared" si="5"/>
        <v>15.64825641167282</v>
      </c>
      <c r="I28" s="61">
        <f t="shared" si="6"/>
        <v>5.7250092833841233</v>
      </c>
      <c r="J28" s="119">
        <v>0</v>
      </c>
      <c r="K28" s="61">
        <f t="shared" si="7"/>
        <v>7.3707921718822398</v>
      </c>
      <c r="L28" s="62">
        <f t="shared" si="8"/>
        <v>2.5524549564064554</v>
      </c>
      <c r="M28" s="63">
        <f t="shared" si="30"/>
        <v>577.58333333333326</v>
      </c>
      <c r="N28" s="109">
        <f t="shared" si="9"/>
        <v>99999</v>
      </c>
      <c r="O28" s="121">
        <f t="shared" si="10"/>
        <v>1.0680000000000001</v>
      </c>
      <c r="P28" s="102">
        <f t="shared" si="31"/>
        <v>3.2775716508465527</v>
      </c>
      <c r="Q28" s="122">
        <f t="shared" si="11"/>
        <v>1.6554000000000002</v>
      </c>
      <c r="R28" s="110">
        <f t="shared" si="12"/>
        <v>0</v>
      </c>
      <c r="S28" s="122">
        <f t="shared" si="13"/>
        <v>0</v>
      </c>
      <c r="T28" s="110">
        <f t="shared" si="14"/>
        <v>0</v>
      </c>
      <c r="U28" s="122">
        <f t="shared" si="15"/>
        <v>0</v>
      </c>
      <c r="V28" s="110">
        <f t="shared" si="16"/>
        <v>2.5499999999999998</v>
      </c>
      <c r="W28" s="122">
        <f t="shared" si="17"/>
        <v>1.2856062515754978</v>
      </c>
      <c r="X28" s="110">
        <f t="shared" si="18"/>
        <v>0</v>
      </c>
      <c r="Y28" s="122">
        <f t="shared" si="19"/>
        <v>0</v>
      </c>
      <c r="Z28" s="110">
        <f t="shared" si="20"/>
        <v>0</v>
      </c>
      <c r="AA28" s="122">
        <f t="shared" si="21"/>
        <v>0</v>
      </c>
      <c r="AB28" s="111">
        <f t="shared" si="22"/>
        <v>0.13500000000000001</v>
      </c>
      <c r="AC28" s="122">
        <f t="shared" si="23"/>
        <v>6.8061507436349894E-2</v>
      </c>
      <c r="AD28" s="123">
        <f t="shared" si="32"/>
        <v>2.454956406455544E-3</v>
      </c>
      <c r="AE28" s="111">
        <f t="shared" si="24"/>
        <v>0</v>
      </c>
      <c r="AF28" s="122">
        <f t="shared" si="25"/>
        <v>0</v>
      </c>
      <c r="AG28" s="127">
        <f t="shared" si="33"/>
        <v>3.2571070734783678</v>
      </c>
      <c r="AH28" s="128">
        <f t="shared" si="26"/>
        <v>1.6421008689076722</v>
      </c>
      <c r="AI28" s="111">
        <f t="shared" si="27"/>
        <v>0</v>
      </c>
      <c r="AJ28" s="125">
        <f t="shared" si="28"/>
        <v>4.3965517241379306</v>
      </c>
      <c r="AK28" s="124">
        <f t="shared" si="34"/>
        <v>4.3965517241379306</v>
      </c>
      <c r="AL28" s="126">
        <f t="shared" si="35"/>
        <v>2.2165625027163753</v>
      </c>
      <c r="AM28" s="64"/>
    </row>
    <row r="29" spans="1:39">
      <c r="A29" s="65">
        <f>'all downloaded data crosstab'!A18</f>
        <v>40101</v>
      </c>
      <c r="B29" s="106">
        <f t="shared" si="29"/>
        <v>4.32</v>
      </c>
      <c r="C29" s="51">
        <f t="shared" si="0"/>
        <v>13.257593194435493</v>
      </c>
      <c r="D29" s="108">
        <f t="shared" si="3"/>
        <v>1.41</v>
      </c>
      <c r="E29" s="51">
        <f t="shared" si="1"/>
        <v>4.3271311120726956</v>
      </c>
      <c r="F29" s="52">
        <f t="shared" si="2"/>
        <v>17.584724306508189</v>
      </c>
      <c r="G29" s="109">
        <f t="shared" si="4"/>
        <v>4.8529999999999998</v>
      </c>
      <c r="H29" s="61">
        <f t="shared" si="5"/>
        <v>14.893310132545242</v>
      </c>
      <c r="I29" s="61">
        <f t="shared" si="6"/>
        <v>4.7867276761464606</v>
      </c>
      <c r="J29" s="119">
        <v>0</v>
      </c>
      <c r="K29" s="61">
        <f t="shared" si="7"/>
        <v>7.3601124440311656</v>
      </c>
      <c r="L29" s="62">
        <f t="shared" si="8"/>
        <v>2.7464700123676158</v>
      </c>
      <c r="M29" s="63">
        <f t="shared" si="30"/>
        <v>621.48611111111109</v>
      </c>
      <c r="N29" s="109">
        <f t="shared" si="9"/>
        <v>99999</v>
      </c>
      <c r="O29" s="121">
        <f t="shared" si="10"/>
        <v>1.034</v>
      </c>
      <c r="P29" s="102">
        <f t="shared" si="31"/>
        <v>3.1732294821866436</v>
      </c>
      <c r="Q29" s="122">
        <f t="shared" si="11"/>
        <v>1.6027</v>
      </c>
      <c r="R29" s="110">
        <f t="shared" si="12"/>
        <v>0</v>
      </c>
      <c r="S29" s="122">
        <f t="shared" si="13"/>
        <v>0</v>
      </c>
      <c r="T29" s="110">
        <f t="shared" si="14"/>
        <v>0</v>
      </c>
      <c r="U29" s="122">
        <f t="shared" si="15"/>
        <v>0</v>
      </c>
      <c r="V29" s="110">
        <f t="shared" si="16"/>
        <v>2.75</v>
      </c>
      <c r="W29" s="122">
        <f t="shared" si="17"/>
        <v>1.3864381144441644</v>
      </c>
      <c r="X29" s="110">
        <f t="shared" si="18"/>
        <v>0</v>
      </c>
      <c r="Y29" s="122">
        <f t="shared" si="19"/>
        <v>0</v>
      </c>
      <c r="Z29" s="110">
        <f t="shared" si="20"/>
        <v>0</v>
      </c>
      <c r="AA29" s="122">
        <f t="shared" si="21"/>
        <v>0</v>
      </c>
      <c r="AB29" s="111">
        <f t="shared" si="22"/>
        <v>0.13500000000000001</v>
      </c>
      <c r="AC29" s="122">
        <f t="shared" si="23"/>
        <v>6.8061507436349894E-2</v>
      </c>
      <c r="AD29" s="123">
        <f t="shared" si="32"/>
        <v>0</v>
      </c>
      <c r="AE29" s="111">
        <f t="shared" si="24"/>
        <v>0</v>
      </c>
      <c r="AF29" s="122">
        <f t="shared" si="25"/>
        <v>0</v>
      </c>
      <c r="AG29" s="127">
        <f t="shared" si="33"/>
        <v>2.6953476036593398</v>
      </c>
      <c r="AH29" s="128">
        <f t="shared" si="26"/>
        <v>1.3588845997778369</v>
      </c>
      <c r="AI29" s="111">
        <f t="shared" si="27"/>
        <v>0</v>
      </c>
      <c r="AJ29" s="125">
        <f t="shared" si="28"/>
        <v>4.7413793103448283</v>
      </c>
      <c r="AK29" s="124">
        <f t="shared" si="34"/>
        <v>4.7352931247717516</v>
      </c>
      <c r="AL29" s="126">
        <f t="shared" si="35"/>
        <v>2.3873421349996224</v>
      </c>
      <c r="AM29" s="64"/>
    </row>
    <row r="30" spans="1:39">
      <c r="A30" s="65">
        <f>'all downloaded data crosstab'!A19</f>
        <v>40102</v>
      </c>
      <c r="B30" s="106">
        <f t="shared" si="29"/>
        <v>4.2450000000000001</v>
      </c>
      <c r="C30" s="51">
        <f t="shared" si="0"/>
        <v>13.027426645920988</v>
      </c>
      <c r="D30" s="108">
        <f t="shared" si="3"/>
        <v>1.573</v>
      </c>
      <c r="E30" s="51">
        <f t="shared" si="1"/>
        <v>4.8273597441775538</v>
      </c>
      <c r="F30" s="52">
        <f t="shared" si="2"/>
        <v>17.854786390098543</v>
      </c>
      <c r="G30" s="109">
        <f t="shared" si="4"/>
        <v>4.7359999999999998</v>
      </c>
      <c r="H30" s="61">
        <f t="shared" si="5"/>
        <v>14.534250316862614</v>
      </c>
      <c r="I30" s="61">
        <f t="shared" si="6"/>
        <v>4.3351102190878663</v>
      </c>
      <c r="J30" s="119">
        <v>0</v>
      </c>
      <c r="K30" s="61">
        <f t="shared" si="7"/>
        <v>7.6894040527725851</v>
      </c>
      <c r="L30" s="62">
        <f t="shared" si="8"/>
        <v>2.5097360450021631</v>
      </c>
      <c r="M30" s="63">
        <f t="shared" si="30"/>
        <v>567.91666666666652</v>
      </c>
      <c r="N30" s="109">
        <f t="shared" si="9"/>
        <v>99999</v>
      </c>
      <c r="O30" s="121">
        <f t="shared" si="10"/>
        <v>1.024</v>
      </c>
      <c r="P30" s="102">
        <f t="shared" si="31"/>
        <v>3.1425406090513763</v>
      </c>
      <c r="Q30" s="122">
        <f t="shared" si="11"/>
        <v>1.5872000000000002</v>
      </c>
      <c r="R30" s="110">
        <f t="shared" si="12"/>
        <v>0</v>
      </c>
      <c r="S30" s="122">
        <f t="shared" si="13"/>
        <v>0</v>
      </c>
      <c r="T30" s="110">
        <f t="shared" si="14"/>
        <v>0</v>
      </c>
      <c r="U30" s="122">
        <f t="shared" si="15"/>
        <v>0</v>
      </c>
      <c r="V30" s="110">
        <f t="shared" si="16"/>
        <v>2.5099999999999998</v>
      </c>
      <c r="W30" s="122">
        <f t="shared" si="17"/>
        <v>1.2654398790017645</v>
      </c>
      <c r="X30" s="110">
        <f t="shared" si="18"/>
        <v>0</v>
      </c>
      <c r="Y30" s="122">
        <f t="shared" si="19"/>
        <v>0</v>
      </c>
      <c r="Z30" s="110">
        <f t="shared" si="20"/>
        <v>0</v>
      </c>
      <c r="AA30" s="122">
        <f t="shared" si="21"/>
        <v>0</v>
      </c>
      <c r="AB30" s="111">
        <f t="shared" si="22"/>
        <v>0.13400000000000001</v>
      </c>
      <c r="AC30" s="122">
        <f t="shared" si="23"/>
        <v>6.7557348122006561E-2</v>
      </c>
      <c r="AD30" s="123">
        <f t="shared" si="32"/>
        <v>0</v>
      </c>
      <c r="AE30" s="111">
        <f t="shared" si="24"/>
        <v>0</v>
      </c>
      <c r="AF30" s="122">
        <f t="shared" si="25"/>
        <v>0</v>
      </c>
      <c r="AG30" s="127">
        <f t="shared" si="33"/>
        <v>1.9285430396101269</v>
      </c>
      <c r="AH30" s="128">
        <f t="shared" si="26"/>
        <v>0.97229293653144788</v>
      </c>
      <c r="AI30" s="111">
        <f t="shared" si="27"/>
        <v>0</v>
      </c>
      <c r="AJ30" s="125">
        <f t="shared" si="28"/>
        <v>4.3275862068965516</v>
      </c>
      <c r="AK30" s="124">
        <f t="shared" si="34"/>
        <v>4.3271311120726956</v>
      </c>
      <c r="AL30" s="126">
        <f t="shared" si="35"/>
        <v>2.1815634545362719</v>
      </c>
      <c r="AM30" s="64"/>
    </row>
    <row r="31" spans="1:39">
      <c r="A31" s="65">
        <f>'all downloaded data crosstab'!A20</f>
        <v>40103</v>
      </c>
      <c r="B31" s="106">
        <f t="shared" si="29"/>
        <v>4.8810000000000002</v>
      </c>
      <c r="C31" s="51">
        <f t="shared" si="0"/>
        <v>14.979238977323993</v>
      </c>
      <c r="D31" s="108">
        <f t="shared" si="3"/>
        <v>1.2629999999999999</v>
      </c>
      <c r="E31" s="51">
        <f t="shared" si="1"/>
        <v>3.8760046769842655</v>
      </c>
      <c r="F31" s="52">
        <f t="shared" si="2"/>
        <v>18.855243654308257</v>
      </c>
      <c r="G31" s="109">
        <f t="shared" si="4"/>
        <v>4.5970000000000004</v>
      </c>
      <c r="H31" s="61">
        <f t="shared" si="5"/>
        <v>14.1076749802824</v>
      </c>
      <c r="I31" s="61">
        <f t="shared" si="6"/>
        <v>3.7518988740252457</v>
      </c>
      <c r="J31" s="119">
        <v>0</v>
      </c>
      <c r="K31" s="61">
        <f t="shared" si="7"/>
        <v>7.5559074546341733</v>
      </c>
      <c r="L31" s="62">
        <f t="shared" si="8"/>
        <v>2.7998686516229809</v>
      </c>
      <c r="M31" s="63">
        <f t="shared" si="30"/>
        <v>633.56944444444446</v>
      </c>
      <c r="N31" s="109">
        <f t="shared" si="9"/>
        <v>99999</v>
      </c>
      <c r="O31" s="121">
        <f t="shared" si="10"/>
        <v>0.94499999999999995</v>
      </c>
      <c r="P31" s="102">
        <f t="shared" si="31"/>
        <v>2.900098511282764</v>
      </c>
      <c r="Q31" s="122">
        <f t="shared" si="11"/>
        <v>1.46475</v>
      </c>
      <c r="R31" s="110">
        <f t="shared" si="12"/>
        <v>0</v>
      </c>
      <c r="S31" s="122">
        <f t="shared" si="13"/>
        <v>0</v>
      </c>
      <c r="T31" s="110">
        <f t="shared" si="14"/>
        <v>0</v>
      </c>
      <c r="U31" s="122">
        <f t="shared" si="15"/>
        <v>0</v>
      </c>
      <c r="V31" s="110">
        <f t="shared" si="16"/>
        <v>2.8</v>
      </c>
      <c r="W31" s="122">
        <f t="shared" si="17"/>
        <v>1.4116460801613309</v>
      </c>
      <c r="X31" s="110">
        <f t="shared" si="18"/>
        <v>0</v>
      </c>
      <c r="Y31" s="122">
        <f t="shared" si="19"/>
        <v>0</v>
      </c>
      <c r="Z31" s="110">
        <f t="shared" si="20"/>
        <v>0</v>
      </c>
      <c r="AA31" s="122">
        <f t="shared" si="21"/>
        <v>0</v>
      </c>
      <c r="AB31" s="111">
        <f t="shared" si="22"/>
        <v>0.13400000000000001</v>
      </c>
      <c r="AC31" s="122">
        <f t="shared" si="23"/>
        <v>6.7557348122006561E-2</v>
      </c>
      <c r="AD31" s="123">
        <f t="shared" si="32"/>
        <v>0</v>
      </c>
      <c r="AE31" s="111">
        <f t="shared" si="24"/>
        <v>0</v>
      </c>
      <c r="AF31" s="122">
        <f t="shared" si="25"/>
        <v>0</v>
      </c>
      <c r="AG31" s="127">
        <f t="shared" si="33"/>
        <v>1.6943131799503439</v>
      </c>
      <c r="AH31" s="128">
        <f t="shared" si="26"/>
        <v>0.8542037710866367</v>
      </c>
      <c r="AI31" s="111">
        <f t="shared" si="27"/>
        <v>0</v>
      </c>
      <c r="AJ31" s="125">
        <f t="shared" si="28"/>
        <v>4.8275862068965516</v>
      </c>
      <c r="AK31" s="124">
        <f t="shared" si="34"/>
        <v>4.8273597441775538</v>
      </c>
      <c r="AL31" s="126">
        <f t="shared" si="35"/>
        <v>2.4337583787131605</v>
      </c>
      <c r="AM31" s="64"/>
    </row>
    <row r="32" spans="1:39">
      <c r="A32" s="65">
        <f>'all downloaded data crosstab'!A21</f>
        <v>40104</v>
      </c>
      <c r="B32" s="106">
        <f t="shared" si="29"/>
        <v>4.633</v>
      </c>
      <c r="C32" s="51">
        <f t="shared" si="0"/>
        <v>14.218154923569362</v>
      </c>
      <c r="D32" s="108">
        <f t="shared" si="3"/>
        <v>1.621</v>
      </c>
      <c r="E32" s="51">
        <f t="shared" si="1"/>
        <v>4.9746663352268365</v>
      </c>
      <c r="F32" s="52">
        <f t="shared" si="2"/>
        <v>19.192821258796197</v>
      </c>
      <c r="G32" s="109">
        <f t="shared" si="4"/>
        <v>4.6589999999999998</v>
      </c>
      <c r="H32" s="61">
        <f t="shared" si="5"/>
        <v>14.297945993721056</v>
      </c>
      <c r="I32" s="61">
        <f t="shared" si="6"/>
        <v>3.3619046742222682</v>
      </c>
      <c r="J32" s="119">
        <v>0</v>
      </c>
      <c r="K32" s="61">
        <f t="shared" si="7"/>
        <v>8.687958606847916</v>
      </c>
      <c r="L32" s="62">
        <f t="shared" si="8"/>
        <v>2.248082712650874</v>
      </c>
      <c r="M32" s="63">
        <f t="shared" si="30"/>
        <v>508.70833333333331</v>
      </c>
      <c r="N32" s="109">
        <f t="shared" si="9"/>
        <v>99999</v>
      </c>
      <c r="O32" s="121">
        <f t="shared" si="10"/>
        <v>0.96</v>
      </c>
      <c r="P32" s="102">
        <f t="shared" si="31"/>
        <v>2.9461318209856651</v>
      </c>
      <c r="Q32" s="122">
        <f t="shared" si="11"/>
        <v>1.488</v>
      </c>
      <c r="R32" s="110">
        <f t="shared" si="12"/>
        <v>0</v>
      </c>
      <c r="S32" s="122">
        <f t="shared" si="13"/>
        <v>0</v>
      </c>
      <c r="T32" s="110">
        <f t="shared" si="14"/>
        <v>0</v>
      </c>
      <c r="U32" s="122">
        <f t="shared" si="15"/>
        <v>0</v>
      </c>
      <c r="V32" s="110">
        <f t="shared" si="16"/>
        <v>2.25</v>
      </c>
      <c r="W32" s="122">
        <f t="shared" si="17"/>
        <v>1.1343584572724981</v>
      </c>
      <c r="X32" s="110">
        <f t="shared" si="18"/>
        <v>0</v>
      </c>
      <c r="Y32" s="122">
        <f t="shared" si="19"/>
        <v>0</v>
      </c>
      <c r="Z32" s="110">
        <f t="shared" si="20"/>
        <v>0</v>
      </c>
      <c r="AA32" s="122">
        <f t="shared" si="21"/>
        <v>0</v>
      </c>
      <c r="AB32" s="111">
        <f t="shared" si="22"/>
        <v>0.13400000000000001</v>
      </c>
      <c r="AC32" s="122">
        <f t="shared" si="23"/>
        <v>6.7557348122006561E-2</v>
      </c>
      <c r="AD32" s="123">
        <f t="shared" si="32"/>
        <v>0</v>
      </c>
      <c r="AE32" s="111">
        <f t="shared" si="24"/>
        <v>0</v>
      </c>
      <c r="AF32" s="122">
        <f t="shared" si="25"/>
        <v>0</v>
      </c>
      <c r="AG32" s="127">
        <f t="shared" si="33"/>
        <v>0.86226407161555285</v>
      </c>
      <c r="AH32" s="128">
        <f t="shared" si="26"/>
        <v>0.43471846312858725</v>
      </c>
      <c r="AI32" s="111">
        <f t="shared" si="27"/>
        <v>0</v>
      </c>
      <c r="AJ32" s="125">
        <f t="shared" si="28"/>
        <v>3.8793103448275863</v>
      </c>
      <c r="AK32" s="124">
        <f t="shared" si="34"/>
        <v>3.8760046769842655</v>
      </c>
      <c r="AL32" s="126">
        <f t="shared" si="35"/>
        <v>1.9541238603399371</v>
      </c>
      <c r="AM32" s="64"/>
    </row>
    <row r="33" spans="1:40">
      <c r="A33" s="65">
        <f>'all downloaded data crosstab'!A22</f>
        <v>40105</v>
      </c>
      <c r="B33" s="106">
        <f t="shared" si="29"/>
        <v>4.2210000000000001</v>
      </c>
      <c r="C33" s="51">
        <f t="shared" si="0"/>
        <v>12.953773350396347</v>
      </c>
      <c r="D33" s="108">
        <f t="shared" si="3"/>
        <v>1.4570000000000001</v>
      </c>
      <c r="E33" s="51">
        <f t="shared" si="1"/>
        <v>4.4713688158084528</v>
      </c>
      <c r="F33" s="52">
        <f t="shared" si="2"/>
        <v>17.4251421662048</v>
      </c>
      <c r="G33" s="109">
        <f t="shared" si="4"/>
        <v>4.9160000000000004</v>
      </c>
      <c r="H33" s="61">
        <f t="shared" si="5"/>
        <v>15.086650033297428</v>
      </c>
      <c r="I33" s="61">
        <f t="shared" si="6"/>
        <v>3.9548137031956347</v>
      </c>
      <c r="J33" s="119">
        <v>0</v>
      </c>
      <c r="K33" s="61">
        <f t="shared" si="7"/>
        <v>8.2465298556702287</v>
      </c>
      <c r="L33" s="62">
        <f t="shared" si="8"/>
        <v>2.8853064744315651</v>
      </c>
      <c r="M33" s="63">
        <f t="shared" si="30"/>
        <v>652.90277777777771</v>
      </c>
      <c r="N33" s="109">
        <f t="shared" si="9"/>
        <v>99999</v>
      </c>
      <c r="O33" s="121">
        <f t="shared" si="10"/>
        <v>0.94799999999999995</v>
      </c>
      <c r="P33" s="102">
        <f t="shared" si="31"/>
        <v>2.9093051732233444</v>
      </c>
      <c r="Q33" s="122">
        <f t="shared" si="11"/>
        <v>1.4694</v>
      </c>
      <c r="R33" s="110">
        <f t="shared" si="12"/>
        <v>0</v>
      </c>
      <c r="S33" s="122">
        <f t="shared" si="13"/>
        <v>0</v>
      </c>
      <c r="T33" s="110">
        <f t="shared" si="14"/>
        <v>0</v>
      </c>
      <c r="U33" s="122">
        <f t="shared" si="15"/>
        <v>0</v>
      </c>
      <c r="V33" s="110">
        <f t="shared" si="16"/>
        <v>2.89</v>
      </c>
      <c r="W33" s="122">
        <f t="shared" si="17"/>
        <v>1.4570204184522308</v>
      </c>
      <c r="X33" s="110">
        <f t="shared" si="18"/>
        <v>0</v>
      </c>
      <c r="Y33" s="122">
        <f t="shared" si="19"/>
        <v>0</v>
      </c>
      <c r="Z33" s="110">
        <f t="shared" si="20"/>
        <v>0</v>
      </c>
      <c r="AA33" s="122">
        <f t="shared" si="21"/>
        <v>0</v>
      </c>
      <c r="AB33" s="111">
        <f t="shared" si="22"/>
        <v>0.13400000000000001</v>
      </c>
      <c r="AC33" s="122">
        <f t="shared" si="23"/>
        <v>6.7557348122006561E-2</v>
      </c>
      <c r="AD33" s="123">
        <f t="shared" si="32"/>
        <v>0</v>
      </c>
      <c r="AE33" s="111">
        <f t="shared" si="24"/>
        <v>0</v>
      </c>
      <c r="AF33" s="122">
        <f t="shared" si="25"/>
        <v>0</v>
      </c>
      <c r="AG33" s="127">
        <f t="shared" si="33"/>
        <v>0.70426537282377355</v>
      </c>
      <c r="AH33" s="128">
        <f t="shared" si="26"/>
        <v>0.3550619474785851</v>
      </c>
      <c r="AI33" s="111">
        <f t="shared" si="27"/>
        <v>0</v>
      </c>
      <c r="AJ33" s="125">
        <f t="shared" si="28"/>
        <v>4.9827586206896557</v>
      </c>
      <c r="AK33" s="124">
        <f t="shared" si="34"/>
        <v>4.9746663352268365</v>
      </c>
      <c r="AL33" s="126">
        <f t="shared" si="35"/>
        <v>2.5080243686548207</v>
      </c>
      <c r="AM33" s="64"/>
    </row>
    <row r="34" spans="1:40">
      <c r="A34" s="65">
        <f>'all downloaded data crosstab'!A23</f>
        <v>40106</v>
      </c>
      <c r="B34" s="106">
        <f t="shared" si="29"/>
        <v>2.1579999999999999</v>
      </c>
      <c r="C34" s="51">
        <f t="shared" si="0"/>
        <v>6.6226588225906928</v>
      </c>
      <c r="D34" s="108">
        <f t="shared" si="3"/>
        <v>2.1709999999999998</v>
      </c>
      <c r="E34" s="51">
        <f t="shared" si="1"/>
        <v>6.66255435766654</v>
      </c>
      <c r="F34" s="52">
        <f t="shared" si="2"/>
        <v>13.285213180257234</v>
      </c>
      <c r="G34" s="109">
        <f t="shared" si="4"/>
        <v>4.875</v>
      </c>
      <c r="H34" s="61">
        <f t="shared" si="5"/>
        <v>14.96082565344283</v>
      </c>
      <c r="I34" s="61">
        <f t="shared" si="6"/>
        <v>4.8542431970440472</v>
      </c>
      <c r="J34" s="119">
        <v>0</v>
      </c>
      <c r="K34" s="61">
        <f t="shared" si="7"/>
        <v>7.5131885432298802</v>
      </c>
      <c r="L34" s="62">
        <f t="shared" si="8"/>
        <v>2.5933939131689026</v>
      </c>
      <c r="M34" s="63">
        <f t="shared" si="30"/>
        <v>586.84722222222229</v>
      </c>
      <c r="N34" s="109">
        <f t="shared" si="9"/>
        <v>99999</v>
      </c>
      <c r="O34" s="121">
        <f t="shared" si="10"/>
        <v>0.90600000000000003</v>
      </c>
      <c r="P34" s="102">
        <f t="shared" si="31"/>
        <v>2.7804119060552215</v>
      </c>
      <c r="Q34" s="122">
        <f t="shared" si="11"/>
        <v>1.4043000000000001</v>
      </c>
      <c r="R34" s="110">
        <f t="shared" si="12"/>
        <v>0</v>
      </c>
      <c r="S34" s="122">
        <f t="shared" si="13"/>
        <v>0</v>
      </c>
      <c r="T34" s="110">
        <f t="shared" si="14"/>
        <v>0</v>
      </c>
      <c r="U34" s="122">
        <f t="shared" si="15"/>
        <v>0</v>
      </c>
      <c r="V34" s="110">
        <f t="shared" si="16"/>
        <v>2.59</v>
      </c>
      <c r="W34" s="122">
        <f t="shared" si="17"/>
        <v>1.3057726241492311</v>
      </c>
      <c r="X34" s="110">
        <f t="shared" si="18"/>
        <v>0</v>
      </c>
      <c r="Y34" s="122">
        <f t="shared" si="19"/>
        <v>0</v>
      </c>
      <c r="Z34" s="110">
        <f t="shared" si="20"/>
        <v>0</v>
      </c>
      <c r="AA34" s="122">
        <f t="shared" si="21"/>
        <v>0</v>
      </c>
      <c r="AB34" s="111">
        <f t="shared" si="22"/>
        <v>0.13400000000000001</v>
      </c>
      <c r="AC34" s="122">
        <f t="shared" si="23"/>
        <v>6.7557348122006561E-2</v>
      </c>
      <c r="AD34" s="123">
        <f t="shared" si="32"/>
        <v>3.3939131689026958E-3</v>
      </c>
      <c r="AE34" s="111">
        <f t="shared" si="24"/>
        <v>0</v>
      </c>
      <c r="AF34" s="122">
        <f t="shared" si="25"/>
        <v>0</v>
      </c>
      <c r="AG34" s="127">
        <f t="shared" si="33"/>
        <v>0.37985346676855192</v>
      </c>
      <c r="AH34" s="128">
        <f t="shared" si="26"/>
        <v>0.19150666335697097</v>
      </c>
      <c r="AI34" s="111">
        <f t="shared" si="27"/>
        <v>0</v>
      </c>
      <c r="AJ34" s="125">
        <f t="shared" si="28"/>
        <v>4.4655172413793105</v>
      </c>
      <c r="AK34" s="124">
        <f t="shared" si="34"/>
        <v>4.4655172413793105</v>
      </c>
      <c r="AL34" s="126">
        <f t="shared" si="35"/>
        <v>2.2513321106021227</v>
      </c>
      <c r="AM34" s="64"/>
    </row>
    <row r="35" spans="1:40">
      <c r="A35" s="65">
        <f>'all downloaded data crosstab'!A24</f>
        <v>40107</v>
      </c>
      <c r="B35" s="106">
        <f t="shared" si="29"/>
        <v>3.8540000000000001</v>
      </c>
      <c r="C35" s="51">
        <f t="shared" si="0"/>
        <v>11.827491706332035</v>
      </c>
      <c r="D35" s="108">
        <f t="shared" si="3"/>
        <v>1.7310000000000001</v>
      </c>
      <c r="E35" s="51">
        <f t="shared" si="1"/>
        <v>5.3122439397147776</v>
      </c>
      <c r="F35" s="52">
        <f t="shared" si="2"/>
        <v>17.139735646046812</v>
      </c>
      <c r="G35" s="109">
        <f t="shared" si="4"/>
        <v>5.78</v>
      </c>
      <c r="H35" s="61">
        <f t="shared" si="5"/>
        <v>17.738168672184528</v>
      </c>
      <c r="I35" s="61">
        <f t="shared" si="6"/>
        <v>10.032745027635332</v>
      </c>
      <c r="J35" s="119">
        <v>0</v>
      </c>
      <c r="K35" s="61">
        <f t="shared" si="7"/>
        <v>3.8411421171026019</v>
      </c>
      <c r="L35" s="62">
        <f t="shared" si="8"/>
        <v>3.8642815274465931</v>
      </c>
      <c r="M35" s="63">
        <f t="shared" si="30"/>
        <v>874.43055555555532</v>
      </c>
      <c r="N35" s="109">
        <f t="shared" si="9"/>
        <v>99999</v>
      </c>
      <c r="O35" s="121">
        <f t="shared" si="10"/>
        <v>0.91600000000000004</v>
      </c>
      <c r="P35" s="102">
        <f t="shared" si="31"/>
        <v>2.8111007791904892</v>
      </c>
      <c r="Q35" s="122">
        <f t="shared" si="11"/>
        <v>1.4198000000000002</v>
      </c>
      <c r="R35" s="110">
        <f t="shared" si="12"/>
        <v>0</v>
      </c>
      <c r="S35" s="122">
        <f t="shared" si="13"/>
        <v>0</v>
      </c>
      <c r="T35" s="110">
        <f t="shared" si="14"/>
        <v>0</v>
      </c>
      <c r="U35" s="122">
        <f t="shared" si="15"/>
        <v>0</v>
      </c>
      <c r="V35" s="110">
        <f t="shared" si="16"/>
        <v>2.81</v>
      </c>
      <c r="W35" s="122">
        <f t="shared" si="17"/>
        <v>1.4166876733047642</v>
      </c>
      <c r="X35" s="110">
        <f t="shared" si="18"/>
        <v>0</v>
      </c>
      <c r="Y35" s="122">
        <f t="shared" si="19"/>
        <v>0</v>
      </c>
      <c r="Z35" s="110">
        <f t="shared" si="20"/>
        <v>0</v>
      </c>
      <c r="AA35" s="122">
        <f t="shared" si="21"/>
        <v>0</v>
      </c>
      <c r="AB35" s="111">
        <f t="shared" si="22"/>
        <v>0.13400000000000001</v>
      </c>
      <c r="AC35" s="122">
        <f t="shared" si="23"/>
        <v>6.7557348122006561E-2</v>
      </c>
      <c r="AD35" s="123">
        <f t="shared" si="32"/>
        <v>1.0542815274465931</v>
      </c>
      <c r="AE35" s="111">
        <f t="shared" si="24"/>
        <v>0.5</v>
      </c>
      <c r="AF35" s="122">
        <f t="shared" si="25"/>
        <v>0.25207965717166625</v>
      </c>
      <c r="AG35" s="127">
        <f t="shared" si="33"/>
        <v>0.74475268757806279</v>
      </c>
      <c r="AH35" s="128">
        <f t="shared" si="26"/>
        <v>0.37547400432471023</v>
      </c>
      <c r="AI35" s="111">
        <f t="shared" si="27"/>
        <v>0</v>
      </c>
      <c r="AJ35" s="125">
        <f t="shared" si="28"/>
        <v>5.7068965517241388</v>
      </c>
      <c r="AK35" s="124">
        <f t="shared" si="34"/>
        <v>5.7068965517241388</v>
      </c>
      <c r="AL35" s="126">
        <f t="shared" si="35"/>
        <v>2.8771850525455704</v>
      </c>
      <c r="AM35" s="64"/>
    </row>
    <row r="36" spans="1:40">
      <c r="A36" s="65">
        <f>'all downloaded data crosstab'!A25</f>
        <v>40108</v>
      </c>
      <c r="B36" s="106">
        <f t="shared" si="29"/>
        <v>3.0910000000000002</v>
      </c>
      <c r="C36" s="51">
        <f t="shared" si="0"/>
        <v>9.4859306861111374</v>
      </c>
      <c r="D36" s="108">
        <f t="shared" si="3"/>
        <v>1.282</v>
      </c>
      <c r="E36" s="51">
        <f t="shared" si="1"/>
        <v>3.934313535941274</v>
      </c>
      <c r="F36" s="52">
        <f t="shared" si="2"/>
        <v>13.420244222052411</v>
      </c>
      <c r="G36" s="109">
        <f t="shared" si="4"/>
        <v>5.399</v>
      </c>
      <c r="H36" s="61">
        <f t="shared" si="5"/>
        <v>16.56892260573084</v>
      </c>
      <c r="I36" s="61">
        <f t="shared" si="6"/>
        <v>6.6278759310236897</v>
      </c>
      <c r="J36" s="119">
        <v>0</v>
      </c>
      <c r="K36" s="61">
        <f t="shared" si="7"/>
        <v>6.8599451896725796</v>
      </c>
      <c r="L36" s="62">
        <f t="shared" si="8"/>
        <v>3.0811014850345706</v>
      </c>
      <c r="M36" s="63">
        <f t="shared" si="30"/>
        <v>697.20833333333326</v>
      </c>
      <c r="N36" s="109">
        <f t="shared" si="9"/>
        <v>99999</v>
      </c>
      <c r="O36" s="121">
        <f t="shared" si="10"/>
        <v>0.44600000000000001</v>
      </c>
      <c r="P36" s="102">
        <f t="shared" si="31"/>
        <v>1.3687237418329237</v>
      </c>
      <c r="Q36" s="122">
        <f t="shared" si="11"/>
        <v>0.69130000000000003</v>
      </c>
      <c r="R36" s="110">
        <f t="shared" si="12"/>
        <v>0</v>
      </c>
      <c r="S36" s="122">
        <f t="shared" si="13"/>
        <v>0</v>
      </c>
      <c r="T36" s="110">
        <f t="shared" si="14"/>
        <v>0</v>
      </c>
      <c r="U36" s="122">
        <f t="shared" si="15"/>
        <v>0</v>
      </c>
      <c r="V36" s="110">
        <f t="shared" si="16"/>
        <v>1.37</v>
      </c>
      <c r="W36" s="122">
        <f t="shared" si="17"/>
        <v>0.69069826065036555</v>
      </c>
      <c r="X36" s="110">
        <f t="shared" si="18"/>
        <v>0</v>
      </c>
      <c r="Y36" s="122">
        <f t="shared" si="19"/>
        <v>0</v>
      </c>
      <c r="Z36" s="110">
        <f t="shared" si="20"/>
        <v>0</v>
      </c>
      <c r="AA36" s="122">
        <f t="shared" si="21"/>
        <v>0</v>
      </c>
      <c r="AB36" s="111">
        <f t="shared" si="22"/>
        <v>0.13400000000000001</v>
      </c>
      <c r="AC36" s="122">
        <f t="shared" si="23"/>
        <v>6.7557348122006561E-2</v>
      </c>
      <c r="AD36" s="123">
        <f t="shared" si="32"/>
        <v>1.7111014850345705</v>
      </c>
      <c r="AE36" s="111">
        <f t="shared" si="24"/>
        <v>1.5</v>
      </c>
      <c r="AF36" s="122">
        <f t="shared" si="25"/>
        <v>0.75623897151499875</v>
      </c>
      <c r="AG36" s="127">
        <f t="shared" si="33"/>
        <v>2.1120289457451396</v>
      </c>
      <c r="AH36" s="128">
        <f t="shared" si="26"/>
        <v>1.0647990651601409</v>
      </c>
      <c r="AI36" s="111">
        <f t="shared" si="27"/>
        <v>0</v>
      </c>
      <c r="AJ36" s="125">
        <f t="shared" si="28"/>
        <v>4.9482758620689662</v>
      </c>
      <c r="AK36" s="124">
        <f t="shared" si="34"/>
        <v>4.9482758620689662</v>
      </c>
      <c r="AL36" s="126">
        <f t="shared" si="35"/>
        <v>2.4947193658023523</v>
      </c>
      <c r="AM36" s="64"/>
    </row>
    <row r="37" spans="1:40">
      <c r="A37" s="65">
        <f>'all downloaded data crosstab'!A26</f>
        <v>40109</v>
      </c>
      <c r="B37" s="106">
        <f t="shared" si="29"/>
        <v>3.08</v>
      </c>
      <c r="C37" s="51">
        <f t="shared" si="0"/>
        <v>9.4521729256623424</v>
      </c>
      <c r="D37" s="108">
        <f t="shared" si="3"/>
        <v>1.335</v>
      </c>
      <c r="E37" s="51">
        <f t="shared" si="1"/>
        <v>4.0969645635581902</v>
      </c>
      <c r="F37" s="52">
        <f t="shared" si="2"/>
        <v>13.549137489220533</v>
      </c>
      <c r="G37" s="109">
        <f t="shared" si="4"/>
        <v>4.9710000000000001</v>
      </c>
      <c r="H37" s="61">
        <f t="shared" si="5"/>
        <v>15.255438835541398</v>
      </c>
      <c r="I37" s="61">
        <f t="shared" si="6"/>
        <v>7.4716971867510003</v>
      </c>
      <c r="J37" s="119">
        <v>0</v>
      </c>
      <c r="K37" s="61">
        <f t="shared" si="7"/>
        <v>5.5018397979444593</v>
      </c>
      <c r="L37" s="62">
        <f t="shared" si="8"/>
        <v>2.2819018508459386</v>
      </c>
      <c r="M37" s="63">
        <f t="shared" si="30"/>
        <v>516.36111111111097</v>
      </c>
      <c r="N37" s="109">
        <f t="shared" si="9"/>
        <v>99999</v>
      </c>
      <c r="O37" s="121">
        <f t="shared" si="10"/>
        <v>0.51200000000000001</v>
      </c>
      <c r="P37" s="102">
        <f t="shared" si="31"/>
        <v>1.5712703045256882</v>
      </c>
      <c r="Q37" s="122">
        <f t="shared" si="11"/>
        <v>0.79360000000000008</v>
      </c>
      <c r="R37" s="110">
        <f t="shared" si="12"/>
        <v>0</v>
      </c>
      <c r="S37" s="122">
        <f t="shared" si="13"/>
        <v>0</v>
      </c>
      <c r="T37" s="110">
        <f t="shared" si="14"/>
        <v>0</v>
      </c>
      <c r="U37" s="122">
        <f t="shared" si="15"/>
        <v>0</v>
      </c>
      <c r="V37" s="110">
        <f t="shared" si="16"/>
        <v>1.57</v>
      </c>
      <c r="W37" s="122">
        <f t="shared" si="17"/>
        <v>0.79153012351903207</v>
      </c>
      <c r="X37" s="110">
        <f t="shared" si="18"/>
        <v>0</v>
      </c>
      <c r="Y37" s="122">
        <f t="shared" si="19"/>
        <v>0</v>
      </c>
      <c r="Z37" s="110">
        <f t="shared" si="20"/>
        <v>0</v>
      </c>
      <c r="AA37" s="122">
        <f t="shared" si="21"/>
        <v>0</v>
      </c>
      <c r="AB37" s="111">
        <f t="shared" si="22"/>
        <v>0.13400000000000001</v>
      </c>
      <c r="AC37" s="122">
        <f t="shared" si="23"/>
        <v>6.7557348122006561E-2</v>
      </c>
      <c r="AD37" s="123">
        <f t="shared" si="32"/>
        <v>0.71190185084593849</v>
      </c>
      <c r="AE37" s="111">
        <f t="shared" si="24"/>
        <v>0.5</v>
      </c>
      <c r="AF37" s="122">
        <f t="shared" si="25"/>
        <v>0.25207965717166625</v>
      </c>
      <c r="AG37" s="127">
        <f t="shared" si="33"/>
        <v>2.4767586412194516</v>
      </c>
      <c r="AH37" s="128">
        <f t="shared" si="26"/>
        <v>1.2486809383511226</v>
      </c>
      <c r="AI37" s="111">
        <f t="shared" si="27"/>
        <v>0</v>
      </c>
      <c r="AJ37" s="125">
        <f t="shared" si="28"/>
        <v>3.5689655172413799</v>
      </c>
      <c r="AK37" s="124">
        <f t="shared" si="34"/>
        <v>3.5689655172413799</v>
      </c>
      <c r="AL37" s="126">
        <f t="shared" si="35"/>
        <v>1.799327208087411</v>
      </c>
      <c r="AM37" s="64"/>
    </row>
    <row r="38" spans="1:40">
      <c r="A38" s="65">
        <f>'all downloaded data crosstab'!A27</f>
        <v>40110</v>
      </c>
      <c r="B38" s="106">
        <f t="shared" si="29"/>
        <v>3.9449999999999998</v>
      </c>
      <c r="C38" s="51">
        <f t="shared" si="0"/>
        <v>12.106760451862968</v>
      </c>
      <c r="D38" s="108">
        <f t="shared" si="3"/>
        <v>0.72799999999999998</v>
      </c>
      <c r="E38" s="51">
        <f t="shared" si="1"/>
        <v>2.2341499642474627</v>
      </c>
      <c r="F38" s="52">
        <f t="shared" si="2"/>
        <v>14.340910416110431</v>
      </c>
      <c r="G38" s="109">
        <f t="shared" si="4"/>
        <v>4.8609999999999998</v>
      </c>
      <c r="H38" s="61">
        <f t="shared" si="5"/>
        <v>14.917861231053456</v>
      </c>
      <c r="I38" s="61">
        <f t="shared" si="6"/>
        <v>7.059361487305547</v>
      </c>
      <c r="J38" s="119">
        <v>0</v>
      </c>
      <c r="K38" s="61">
        <f t="shared" si="7"/>
        <v>5.4822602968841583</v>
      </c>
      <c r="L38" s="62">
        <f t="shared" si="8"/>
        <v>2.37623944686375</v>
      </c>
      <c r="M38" s="63">
        <f t="shared" si="30"/>
        <v>537.70833333333314</v>
      </c>
      <c r="N38" s="109">
        <f t="shared" si="9"/>
        <v>99999</v>
      </c>
      <c r="O38" s="121">
        <f t="shared" si="10"/>
        <v>0.94799999999999995</v>
      </c>
      <c r="P38" s="102">
        <f t="shared" si="31"/>
        <v>2.9093051732233444</v>
      </c>
      <c r="Q38" s="122">
        <f t="shared" si="11"/>
        <v>1.4694</v>
      </c>
      <c r="R38" s="110">
        <f t="shared" si="12"/>
        <v>0</v>
      </c>
      <c r="S38" s="122">
        <f t="shared" si="13"/>
        <v>0</v>
      </c>
      <c r="T38" s="110">
        <f t="shared" si="14"/>
        <v>0</v>
      </c>
      <c r="U38" s="122">
        <f t="shared" si="15"/>
        <v>0</v>
      </c>
      <c r="V38" s="110">
        <f t="shared" si="16"/>
        <v>2.38</v>
      </c>
      <c r="W38" s="122">
        <f t="shared" si="17"/>
        <v>1.1998991681371312</v>
      </c>
      <c r="X38" s="110">
        <f t="shared" si="18"/>
        <v>0</v>
      </c>
      <c r="Y38" s="122">
        <f t="shared" si="19"/>
        <v>0</v>
      </c>
      <c r="Z38" s="110">
        <f t="shared" si="20"/>
        <v>0</v>
      </c>
      <c r="AA38" s="122">
        <f t="shared" si="21"/>
        <v>0</v>
      </c>
      <c r="AB38" s="111">
        <f t="shared" si="22"/>
        <v>0.13400000000000001</v>
      </c>
      <c r="AC38" s="122">
        <f t="shared" si="23"/>
        <v>6.7557348122006561E-2</v>
      </c>
      <c r="AD38" s="123">
        <f t="shared" si="32"/>
        <v>0</v>
      </c>
      <c r="AE38" s="111">
        <f t="shared" si="24"/>
        <v>0</v>
      </c>
      <c r="AF38" s="122">
        <f t="shared" si="25"/>
        <v>0</v>
      </c>
      <c r="AG38" s="127">
        <f t="shared" si="33"/>
        <v>1.8096929148598573</v>
      </c>
      <c r="AH38" s="128">
        <f t="shared" si="26"/>
        <v>0.91237353912773245</v>
      </c>
      <c r="AI38" s="111">
        <f t="shared" si="27"/>
        <v>0</v>
      </c>
      <c r="AJ38" s="125">
        <f t="shared" si="28"/>
        <v>4.1034482758620694</v>
      </c>
      <c r="AK38" s="124">
        <f t="shared" si="34"/>
        <v>4.0969645635581902</v>
      </c>
      <c r="AL38" s="126">
        <f t="shared" si="35"/>
        <v>2.0655228452524277</v>
      </c>
      <c r="AM38" s="64"/>
    </row>
    <row r="39" spans="1:40">
      <c r="A39" s="65">
        <f>'all downloaded data crosstab'!A28</f>
        <v>40111</v>
      </c>
      <c r="B39" s="106">
        <f t="shared" si="29"/>
        <v>4.0380000000000003</v>
      </c>
      <c r="C39" s="51">
        <f t="shared" si="0"/>
        <v>12.392166972020956</v>
      </c>
      <c r="D39" s="108">
        <f t="shared" si="3"/>
        <v>1.0880000000000001</v>
      </c>
      <c r="E39" s="51">
        <f t="shared" si="1"/>
        <v>3.3389493971170876</v>
      </c>
      <c r="F39" s="52">
        <f t="shared" si="2"/>
        <v>15.731116369138043</v>
      </c>
      <c r="G39" s="109">
        <f t="shared" si="4"/>
        <v>5.33</v>
      </c>
      <c r="H39" s="61">
        <f t="shared" si="5"/>
        <v>16.357169381097496</v>
      </c>
      <c r="I39" s="61">
        <f t="shared" si="6"/>
        <v>8.0394413397534468</v>
      </c>
      <c r="J39" s="119">
        <v>0</v>
      </c>
      <c r="K39" s="61">
        <f t="shared" si="7"/>
        <v>7.021921062080521</v>
      </c>
      <c r="L39" s="62">
        <f t="shared" si="8"/>
        <v>1.2958069792635283</v>
      </c>
      <c r="M39" s="63">
        <f t="shared" si="30"/>
        <v>293.22222222222223</v>
      </c>
      <c r="N39" s="109">
        <f t="shared" si="9"/>
        <v>99999</v>
      </c>
      <c r="O39" s="121">
        <f t="shared" si="10"/>
        <v>0.93500000000000005</v>
      </c>
      <c r="P39" s="102">
        <f t="shared" si="31"/>
        <v>2.8694096381474972</v>
      </c>
      <c r="Q39" s="122">
        <f t="shared" si="11"/>
        <v>1.4492500000000001</v>
      </c>
      <c r="R39" s="110">
        <f t="shared" si="12"/>
        <v>0</v>
      </c>
      <c r="S39" s="122">
        <f t="shared" si="13"/>
        <v>0</v>
      </c>
      <c r="T39" s="110">
        <f t="shared" si="14"/>
        <v>0</v>
      </c>
      <c r="U39" s="122">
        <f t="shared" si="15"/>
        <v>0</v>
      </c>
      <c r="V39" s="110">
        <f t="shared" si="16"/>
        <v>1.3</v>
      </c>
      <c r="W39" s="122">
        <f t="shared" si="17"/>
        <v>0.65540710864633223</v>
      </c>
      <c r="X39" s="110">
        <f t="shared" si="18"/>
        <v>0</v>
      </c>
      <c r="Y39" s="122">
        <f t="shared" si="19"/>
        <v>0</v>
      </c>
      <c r="Z39" s="110">
        <f t="shared" si="20"/>
        <v>0</v>
      </c>
      <c r="AA39" s="122">
        <f t="shared" si="21"/>
        <v>0</v>
      </c>
      <c r="AB39" s="111">
        <f t="shared" si="22"/>
        <v>0.13400000000000001</v>
      </c>
      <c r="AC39" s="122">
        <f t="shared" si="23"/>
        <v>6.7557348122006561E-2</v>
      </c>
      <c r="AD39" s="123">
        <f t="shared" si="32"/>
        <v>0</v>
      </c>
      <c r="AE39" s="111">
        <f t="shared" si="24"/>
        <v>0</v>
      </c>
      <c r="AF39" s="122">
        <f t="shared" si="25"/>
        <v>0</v>
      </c>
      <c r="AG39" s="127">
        <f t="shared" si="33"/>
        <v>0.10209025597588826</v>
      </c>
      <c r="AH39" s="128">
        <f t="shared" si="26"/>
        <v>5.1469753453939129E-2</v>
      </c>
      <c r="AI39" s="111">
        <f t="shared" si="27"/>
        <v>0</v>
      </c>
      <c r="AJ39" s="125">
        <f t="shared" si="28"/>
        <v>2.2413793103448278</v>
      </c>
      <c r="AK39" s="124">
        <f t="shared" si="34"/>
        <v>2.2341499642474627</v>
      </c>
      <c r="AL39" s="126">
        <f t="shared" si="35"/>
        <v>1.1263675141151817</v>
      </c>
      <c r="AM39" s="64"/>
    </row>
    <row r="40" spans="1:40">
      <c r="A40" s="65">
        <f>'all downloaded data crosstab'!A29</f>
        <v>40112</v>
      </c>
      <c r="B40" s="106">
        <f t="shared" si="29"/>
        <v>3.9590000000000001</v>
      </c>
      <c r="C40" s="51">
        <f t="shared" si="0"/>
        <v>12.149724874252342</v>
      </c>
      <c r="D40" s="108">
        <f t="shared" si="3"/>
        <v>2.3450000000000002</v>
      </c>
      <c r="E40" s="51">
        <f t="shared" si="1"/>
        <v>7.1965407502201932</v>
      </c>
      <c r="F40" s="52">
        <f t="shared" si="2"/>
        <v>19.346265624472537</v>
      </c>
      <c r="G40" s="109">
        <f t="shared" si="4"/>
        <v>5.41</v>
      </c>
      <c r="H40" s="61">
        <f t="shared" si="5"/>
        <v>16.602680366179634</v>
      </c>
      <c r="I40" s="61">
        <f t="shared" si="6"/>
        <v>7.4786328720795687</v>
      </c>
      <c r="J40" s="119">
        <v>0</v>
      </c>
      <c r="K40" s="61">
        <f t="shared" si="7"/>
        <v>7.1874568437721544</v>
      </c>
      <c r="L40" s="62">
        <f t="shared" si="8"/>
        <v>1.9365906503279107</v>
      </c>
      <c r="M40" s="63">
        <f t="shared" si="30"/>
        <v>438.22222222222223</v>
      </c>
      <c r="N40" s="109">
        <f t="shared" si="9"/>
        <v>99999</v>
      </c>
      <c r="O40" s="121">
        <f t="shared" si="10"/>
        <v>0.433</v>
      </c>
      <c r="P40" s="102">
        <f t="shared" si="31"/>
        <v>1.328828206757076</v>
      </c>
      <c r="Q40" s="122">
        <f t="shared" si="11"/>
        <v>0.67115000000000002</v>
      </c>
      <c r="R40" s="110">
        <f t="shared" si="12"/>
        <v>0</v>
      </c>
      <c r="S40" s="122">
        <f t="shared" si="13"/>
        <v>0</v>
      </c>
      <c r="T40" s="110">
        <f t="shared" si="14"/>
        <v>0</v>
      </c>
      <c r="U40" s="122">
        <f t="shared" si="15"/>
        <v>0</v>
      </c>
      <c r="V40" s="110">
        <f t="shared" si="16"/>
        <v>1.33</v>
      </c>
      <c r="W40" s="122">
        <f t="shared" si="17"/>
        <v>0.67053188807663222</v>
      </c>
      <c r="X40" s="110">
        <f t="shared" si="18"/>
        <v>0</v>
      </c>
      <c r="Y40" s="122">
        <f t="shared" si="19"/>
        <v>0</v>
      </c>
      <c r="Z40" s="110">
        <f t="shared" si="20"/>
        <v>0</v>
      </c>
      <c r="AA40" s="122">
        <f t="shared" si="21"/>
        <v>0</v>
      </c>
      <c r="AB40" s="111">
        <f t="shared" si="22"/>
        <v>0.13500000000000001</v>
      </c>
      <c r="AC40" s="122">
        <f t="shared" si="23"/>
        <v>6.8061507436349894E-2</v>
      </c>
      <c r="AD40" s="123">
        <f t="shared" si="32"/>
        <v>0.6065906503279106</v>
      </c>
      <c r="AE40" s="111">
        <f t="shared" si="24"/>
        <v>0.5</v>
      </c>
      <c r="AF40" s="122">
        <f t="shared" si="25"/>
        <v>0.25207965717166625</v>
      </c>
      <c r="AG40" s="127">
        <f t="shared" si="33"/>
        <v>0.46826204921881232</v>
      </c>
      <c r="AH40" s="128">
        <f t="shared" si="26"/>
        <v>0.23607867366716023</v>
      </c>
      <c r="AI40" s="111">
        <f t="shared" si="27"/>
        <v>0</v>
      </c>
      <c r="AJ40" s="125">
        <f t="shared" si="28"/>
        <v>3.1551724137931036</v>
      </c>
      <c r="AK40" s="124">
        <f t="shared" si="34"/>
        <v>3.1551724137931036</v>
      </c>
      <c r="AL40" s="126">
        <f t="shared" si="35"/>
        <v>1.5907095607729285</v>
      </c>
      <c r="AM40" s="64"/>
    </row>
    <row r="41" spans="1:40">
      <c r="A41" s="65">
        <f>'all downloaded data crosstab'!A30</f>
        <v>40113</v>
      </c>
      <c r="B41" s="106">
        <f t="shared" si="29"/>
        <v>1.819</v>
      </c>
      <c r="C41" s="51">
        <f t="shared" si="0"/>
        <v>5.5823060233051303</v>
      </c>
      <c r="D41" s="108">
        <f t="shared" si="3"/>
        <v>1.9990000000000001</v>
      </c>
      <c r="E41" s="51">
        <f t="shared" si="1"/>
        <v>6.1347057397399425</v>
      </c>
      <c r="F41" s="52">
        <f t="shared" si="2"/>
        <v>11.717011763045072</v>
      </c>
      <c r="G41" s="109">
        <f t="shared" si="4"/>
        <v>5.0990000000000002</v>
      </c>
      <c r="H41" s="61">
        <f t="shared" si="5"/>
        <v>15.64825641167282</v>
      </c>
      <c r="I41" s="61">
        <f t="shared" si="6"/>
        <v>4.4274223494787499</v>
      </c>
      <c r="J41" s="119">
        <v>0</v>
      </c>
      <c r="K41" s="61">
        <f t="shared" si="7"/>
        <v>7.0468404270663578</v>
      </c>
      <c r="L41" s="62">
        <f t="shared" si="8"/>
        <v>4.1739936351277116</v>
      </c>
      <c r="M41" s="63">
        <f t="shared" si="30"/>
        <v>944.51388888888891</v>
      </c>
      <c r="N41" s="109">
        <f t="shared" si="9"/>
        <v>99999</v>
      </c>
      <c r="O41" s="121">
        <f t="shared" si="10"/>
        <v>0</v>
      </c>
      <c r="P41" s="102">
        <f t="shared" si="31"/>
        <v>0</v>
      </c>
      <c r="Q41" s="122">
        <f t="shared" si="11"/>
        <v>0</v>
      </c>
      <c r="R41" s="110">
        <f t="shared" si="12"/>
        <v>0</v>
      </c>
      <c r="S41" s="122">
        <f t="shared" si="13"/>
        <v>0</v>
      </c>
      <c r="T41" s="110">
        <f t="shared" si="14"/>
        <v>0</v>
      </c>
      <c r="U41" s="122">
        <f t="shared" si="15"/>
        <v>0</v>
      </c>
      <c r="V41" s="110">
        <f t="shared" si="16"/>
        <v>0</v>
      </c>
      <c r="W41" s="122">
        <f t="shared" si="17"/>
        <v>0</v>
      </c>
      <c r="X41" s="110">
        <f t="shared" si="18"/>
        <v>0</v>
      </c>
      <c r="Y41" s="122">
        <f t="shared" si="19"/>
        <v>0</v>
      </c>
      <c r="Z41" s="110">
        <f t="shared" si="20"/>
        <v>0</v>
      </c>
      <c r="AA41" s="122">
        <f t="shared" si="21"/>
        <v>0</v>
      </c>
      <c r="AB41" s="111">
        <f t="shared" si="22"/>
        <v>0.13500000000000001</v>
      </c>
      <c r="AC41" s="122">
        <f t="shared" si="23"/>
        <v>6.8061507436349894E-2</v>
      </c>
      <c r="AD41" s="123">
        <f t="shared" si="32"/>
        <v>4.1739936351277116</v>
      </c>
      <c r="AE41" s="111">
        <f t="shared" si="24"/>
        <v>0.21</v>
      </c>
      <c r="AF41" s="122">
        <f t="shared" si="25"/>
        <v>0.10587345601209981</v>
      </c>
      <c r="AG41" s="127">
        <f t="shared" si="33"/>
        <v>0.54326204921881227</v>
      </c>
      <c r="AH41" s="128">
        <f t="shared" si="26"/>
        <v>0.27389062224291016</v>
      </c>
      <c r="AI41" s="111">
        <f t="shared" si="27"/>
        <v>0</v>
      </c>
      <c r="AJ41" s="125">
        <f t="shared" si="28"/>
        <v>0.36206896551724138</v>
      </c>
      <c r="AK41" s="124">
        <f t="shared" si="34"/>
        <v>0.36206896551724138</v>
      </c>
      <c r="AL41" s="126">
        <f t="shared" si="35"/>
        <v>0.18254044140017212</v>
      </c>
      <c r="AM41" s="64"/>
    </row>
    <row r="42" spans="1:40">
      <c r="A42" s="65">
        <f>'all downloaded data crosstab'!A31</f>
        <v>40114</v>
      </c>
      <c r="B42" s="106">
        <f t="shared" si="29"/>
        <v>3.7890000000000001</v>
      </c>
      <c r="C42" s="51">
        <f t="shared" si="0"/>
        <v>11.628014030952798</v>
      </c>
      <c r="D42" s="108">
        <f t="shared" si="3"/>
        <v>0.79500000000000004</v>
      </c>
      <c r="E42" s="51">
        <f t="shared" si="1"/>
        <v>2.4397654142537539</v>
      </c>
      <c r="F42" s="52">
        <f t="shared" si="2"/>
        <v>14.067779445206552</v>
      </c>
      <c r="G42" s="109">
        <f t="shared" si="4"/>
        <v>5.85</v>
      </c>
      <c r="H42" s="61">
        <f t="shared" si="5"/>
        <v>17.952990784131398</v>
      </c>
      <c r="I42" s="61">
        <f t="shared" si="6"/>
        <v>11.157123961565256</v>
      </c>
      <c r="J42" s="119">
        <v>0</v>
      </c>
      <c r="K42" s="61">
        <f t="shared" si="7"/>
        <v>3.2377374935169754</v>
      </c>
      <c r="L42" s="62">
        <f t="shared" si="8"/>
        <v>3.5581293290491667</v>
      </c>
      <c r="M42" s="63">
        <f t="shared" si="30"/>
        <v>805.15277777777771</v>
      </c>
      <c r="N42" s="109">
        <f t="shared" si="9"/>
        <v>99999</v>
      </c>
      <c r="O42" s="121">
        <f t="shared" si="10"/>
        <v>0.54400000000000004</v>
      </c>
      <c r="P42" s="102">
        <f t="shared" si="31"/>
        <v>1.6694746985585438</v>
      </c>
      <c r="Q42" s="122">
        <f t="shared" si="11"/>
        <v>0.84320000000000006</v>
      </c>
      <c r="R42" s="110">
        <f t="shared" si="12"/>
        <v>0</v>
      </c>
      <c r="S42" s="122">
        <f t="shared" si="13"/>
        <v>0</v>
      </c>
      <c r="T42" s="110">
        <f t="shared" si="14"/>
        <v>0</v>
      </c>
      <c r="U42" s="122">
        <f t="shared" si="15"/>
        <v>0</v>
      </c>
      <c r="V42" s="110">
        <f t="shared" si="16"/>
        <v>1.67</v>
      </c>
      <c r="W42" s="122">
        <f t="shared" si="17"/>
        <v>0.84194605495336516</v>
      </c>
      <c r="X42" s="110">
        <f t="shared" si="18"/>
        <v>0</v>
      </c>
      <c r="Y42" s="122">
        <f t="shared" si="19"/>
        <v>0</v>
      </c>
      <c r="Z42" s="110">
        <f t="shared" si="20"/>
        <v>0</v>
      </c>
      <c r="AA42" s="122">
        <f t="shared" si="21"/>
        <v>0</v>
      </c>
      <c r="AB42" s="111">
        <f t="shared" si="22"/>
        <v>1.64</v>
      </c>
      <c r="AC42" s="122">
        <f t="shared" si="23"/>
        <v>0.82682127552306517</v>
      </c>
      <c r="AD42" s="123">
        <f t="shared" si="32"/>
        <v>1.8881293290491667</v>
      </c>
      <c r="AE42" s="111">
        <f t="shared" si="24"/>
        <v>1.5</v>
      </c>
      <c r="AF42" s="122">
        <f t="shared" si="25"/>
        <v>0.75623897151499875</v>
      </c>
      <c r="AG42" s="127">
        <f t="shared" si="33"/>
        <v>0.4037873506602685</v>
      </c>
      <c r="AH42" s="128">
        <f t="shared" si="26"/>
        <v>0.20357315384939173</v>
      </c>
      <c r="AI42" s="111">
        <f t="shared" si="27"/>
        <v>0</v>
      </c>
      <c r="AJ42" s="125">
        <f t="shared" si="28"/>
        <v>5.4655172413793105</v>
      </c>
      <c r="AK42" s="124">
        <f t="shared" si="34"/>
        <v>5.4655172413793105</v>
      </c>
      <c r="AL42" s="126">
        <f t="shared" si="35"/>
        <v>2.7554914249454554</v>
      </c>
      <c r="AM42" s="64"/>
    </row>
    <row r="43" spans="1:40">
      <c r="A43" s="65">
        <f>'all downloaded data crosstab'!A32</f>
        <v>40115</v>
      </c>
      <c r="B43" s="106">
        <f t="shared" si="29"/>
        <v>2.552</v>
      </c>
      <c r="C43" s="51">
        <f t="shared" si="0"/>
        <v>7.8318004241202273</v>
      </c>
      <c r="D43" s="108">
        <f t="shared" si="3"/>
        <v>0</v>
      </c>
      <c r="E43" s="51">
        <f t="shared" si="1"/>
        <v>0</v>
      </c>
      <c r="F43" s="52">
        <f t="shared" si="2"/>
        <v>7.8318004241202273</v>
      </c>
      <c r="G43" s="109">
        <f t="shared" si="4"/>
        <v>5.9630000000000001</v>
      </c>
      <c r="H43" s="61">
        <f t="shared" si="5"/>
        <v>18.299775050559919</v>
      </c>
      <c r="I43" s="61">
        <f t="shared" si="6"/>
        <v>10.140462972340119</v>
      </c>
      <c r="J43" s="119">
        <v>0</v>
      </c>
      <c r="K43" s="61">
        <f t="shared" si="7"/>
        <v>6.7442481379526225</v>
      </c>
      <c r="L43" s="62">
        <f t="shared" si="8"/>
        <v>1.4150639402671772</v>
      </c>
      <c r="M43" s="63">
        <f t="shared" si="30"/>
        <v>320.20833333333326</v>
      </c>
      <c r="N43" s="109">
        <f t="shared" si="9"/>
        <v>99999</v>
      </c>
      <c r="O43" s="121">
        <f t="shared" si="10"/>
        <v>0</v>
      </c>
      <c r="P43" s="102">
        <f t="shared" si="31"/>
        <v>0</v>
      </c>
      <c r="Q43" s="122">
        <f t="shared" si="11"/>
        <v>0</v>
      </c>
      <c r="R43" s="110">
        <f t="shared" si="12"/>
        <v>0</v>
      </c>
      <c r="S43" s="122">
        <f t="shared" si="13"/>
        <v>0</v>
      </c>
      <c r="T43" s="110">
        <f t="shared" si="14"/>
        <v>0</v>
      </c>
      <c r="U43" s="122">
        <f t="shared" si="15"/>
        <v>0</v>
      </c>
      <c r="V43" s="110">
        <f t="shared" si="16"/>
        <v>0</v>
      </c>
      <c r="W43" s="122">
        <f t="shared" si="17"/>
        <v>0</v>
      </c>
      <c r="X43" s="110">
        <f t="shared" si="18"/>
        <v>0</v>
      </c>
      <c r="Y43" s="122">
        <f t="shared" si="19"/>
        <v>0</v>
      </c>
      <c r="Z43" s="110">
        <f t="shared" si="20"/>
        <v>0</v>
      </c>
      <c r="AA43" s="122">
        <f t="shared" si="21"/>
        <v>0</v>
      </c>
      <c r="AB43" s="111">
        <f t="shared" si="22"/>
        <v>0.14000000000000001</v>
      </c>
      <c r="AC43" s="122">
        <f t="shared" si="23"/>
        <v>7.058230400806656E-2</v>
      </c>
      <c r="AD43" s="123">
        <f t="shared" si="32"/>
        <v>1.4150639402671772</v>
      </c>
      <c r="AE43" s="111">
        <f t="shared" si="24"/>
        <v>0</v>
      </c>
      <c r="AF43" s="122">
        <f t="shared" si="25"/>
        <v>0</v>
      </c>
      <c r="AG43" s="127">
        <f t="shared" si="33"/>
        <v>0.26378735066026848</v>
      </c>
      <c r="AH43" s="128">
        <f t="shared" si="26"/>
        <v>0.13299084984132517</v>
      </c>
      <c r="AI43" s="111">
        <f t="shared" si="27"/>
        <v>0</v>
      </c>
      <c r="AJ43" s="125">
        <f t="shared" si="28"/>
        <v>0</v>
      </c>
      <c r="AK43" s="124">
        <f t="shared" si="34"/>
        <v>0</v>
      </c>
      <c r="AL43" s="126">
        <f t="shared" si="35"/>
        <v>0</v>
      </c>
      <c r="AM43" s="64"/>
    </row>
    <row r="44" spans="1:40">
      <c r="A44" s="65">
        <f>'all downloaded data crosstab'!A33</f>
        <v>40116</v>
      </c>
      <c r="B44" s="106">
        <f t="shared" si="29"/>
        <v>2.137</v>
      </c>
      <c r="C44" s="51">
        <f t="shared" si="0"/>
        <v>6.5582121890066318</v>
      </c>
      <c r="D44" s="108">
        <f t="shared" si="3"/>
        <v>0.69199999999999995</v>
      </c>
      <c r="E44" s="51">
        <f t="shared" si="1"/>
        <v>2.1236700209605002</v>
      </c>
      <c r="F44" s="52">
        <f t="shared" si="2"/>
        <v>8.6818822099671316</v>
      </c>
      <c r="G44" s="109">
        <f t="shared" si="4"/>
        <v>6.0439999999999996</v>
      </c>
      <c r="H44" s="61">
        <f t="shared" si="5"/>
        <v>18.548354922955582</v>
      </c>
      <c r="I44" s="61">
        <f t="shared" si="6"/>
        <v>14.005910676965851</v>
      </c>
      <c r="J44" s="119">
        <v>0</v>
      </c>
      <c r="K44" s="61">
        <f t="shared" si="7"/>
        <v>4.5424442459897314</v>
      </c>
      <c r="L44" s="62">
        <f t="shared" si="8"/>
        <v>0</v>
      </c>
      <c r="M44" s="63">
        <f t="shared" si="30"/>
        <v>0</v>
      </c>
      <c r="N44" s="109">
        <f t="shared" si="9"/>
        <v>99999</v>
      </c>
      <c r="O44" s="121">
        <f t="shared" si="10"/>
        <v>0</v>
      </c>
      <c r="P44" s="102">
        <f t="shared" si="31"/>
        <v>0</v>
      </c>
      <c r="Q44" s="122">
        <f t="shared" si="11"/>
        <v>0</v>
      </c>
      <c r="R44" s="110">
        <f t="shared" si="12"/>
        <v>0</v>
      </c>
      <c r="S44" s="122">
        <f t="shared" si="13"/>
        <v>0</v>
      </c>
      <c r="T44" s="110">
        <f t="shared" si="14"/>
        <v>0</v>
      </c>
      <c r="U44" s="122">
        <f t="shared" si="15"/>
        <v>0</v>
      </c>
      <c r="V44" s="110">
        <f t="shared" si="16"/>
        <v>0</v>
      </c>
      <c r="W44" s="122">
        <f t="shared" si="17"/>
        <v>0</v>
      </c>
      <c r="X44" s="110">
        <f t="shared" si="18"/>
        <v>0</v>
      </c>
      <c r="Y44" s="122">
        <f t="shared" si="19"/>
        <v>0</v>
      </c>
      <c r="Z44" s="110">
        <f t="shared" si="20"/>
        <v>0</v>
      </c>
      <c r="AA44" s="122">
        <f t="shared" si="21"/>
        <v>0</v>
      </c>
      <c r="AB44" s="111">
        <f t="shared" si="22"/>
        <v>0.13500000000000001</v>
      </c>
      <c r="AC44" s="122">
        <f t="shared" si="23"/>
        <v>6.8061507436349894E-2</v>
      </c>
      <c r="AD44" s="123">
        <f t="shared" si="32"/>
        <v>0</v>
      </c>
      <c r="AE44" s="111">
        <f t="shared" si="24"/>
        <v>0</v>
      </c>
      <c r="AF44" s="122">
        <f t="shared" si="25"/>
        <v>0</v>
      </c>
      <c r="AG44" s="127">
        <f t="shared" si="33"/>
        <v>0.12878735066026847</v>
      </c>
      <c r="AH44" s="128">
        <f t="shared" si="26"/>
        <v>6.4929342404975277E-2</v>
      </c>
      <c r="AI44" s="111">
        <f t="shared" si="27"/>
        <v>0</v>
      </c>
      <c r="AJ44" s="125">
        <f t="shared" si="28"/>
        <v>0</v>
      </c>
      <c r="AK44" s="124">
        <f t="shared" si="34"/>
        <v>0</v>
      </c>
      <c r="AL44" s="126">
        <f t="shared" si="35"/>
        <v>0</v>
      </c>
      <c r="AM44" s="64"/>
    </row>
    <row r="45" spans="1:40">
      <c r="A45" s="65">
        <f>'all downloaded data crosstab'!A34</f>
        <v>40117</v>
      </c>
      <c r="B45" s="106">
        <f t="shared" si="29"/>
        <v>3.875</v>
      </c>
      <c r="C45" s="51">
        <f t="shared" si="0"/>
        <v>11.891938339916097</v>
      </c>
      <c r="D45" s="108">
        <f t="shared" si="3"/>
        <v>0.82099999999999995</v>
      </c>
      <c r="E45" s="51">
        <f t="shared" si="1"/>
        <v>2.5195564844054488</v>
      </c>
      <c r="F45" s="52">
        <f t="shared" si="2"/>
        <v>14.411494824321545</v>
      </c>
      <c r="G45" s="109">
        <f t="shared" si="4"/>
        <v>5.5570000000000004</v>
      </c>
      <c r="H45" s="61">
        <f t="shared" si="5"/>
        <v>17.053806801268067</v>
      </c>
      <c r="I45" s="61">
        <f t="shared" si="6"/>
        <v>12.018315119487131</v>
      </c>
      <c r="J45" s="119">
        <v>0</v>
      </c>
      <c r="K45" s="61">
        <f t="shared" si="7"/>
        <v>3.8037630696238462</v>
      </c>
      <c r="L45" s="62">
        <f t="shared" si="8"/>
        <v>1.2317286121570901</v>
      </c>
      <c r="M45" s="63">
        <f t="shared" si="30"/>
        <v>278.72222222222223</v>
      </c>
      <c r="N45" s="109">
        <f t="shared" si="9"/>
        <v>99999</v>
      </c>
      <c r="O45" s="121">
        <f t="shared" si="10"/>
        <v>0</v>
      </c>
      <c r="P45" s="102">
        <f t="shared" si="31"/>
        <v>0</v>
      </c>
      <c r="Q45" s="122">
        <f t="shared" si="11"/>
        <v>0</v>
      </c>
      <c r="R45" s="110">
        <f t="shared" si="12"/>
        <v>0</v>
      </c>
      <c r="S45" s="122">
        <f t="shared" si="13"/>
        <v>0</v>
      </c>
      <c r="T45" s="110">
        <f t="shared" si="14"/>
        <v>0</v>
      </c>
      <c r="U45" s="122">
        <f t="shared" si="15"/>
        <v>0</v>
      </c>
      <c r="V45" s="110">
        <f t="shared" si="16"/>
        <v>0</v>
      </c>
      <c r="W45" s="122">
        <f t="shared" si="17"/>
        <v>0</v>
      </c>
      <c r="X45" s="110">
        <f t="shared" si="18"/>
        <v>0</v>
      </c>
      <c r="Y45" s="122">
        <f t="shared" si="19"/>
        <v>0</v>
      </c>
      <c r="Z45" s="110">
        <f t="shared" si="20"/>
        <v>0</v>
      </c>
      <c r="AA45" s="122">
        <f t="shared" si="21"/>
        <v>0</v>
      </c>
      <c r="AB45" s="111">
        <f t="shared" si="22"/>
        <v>0.13500000000000001</v>
      </c>
      <c r="AC45" s="122">
        <f t="shared" si="23"/>
        <v>6.8061507436349894E-2</v>
      </c>
      <c r="AD45" s="123">
        <f t="shared" si="32"/>
        <v>1.2317286121570901</v>
      </c>
      <c r="AE45" s="111">
        <f t="shared" si="24"/>
        <v>0</v>
      </c>
      <c r="AF45" s="122">
        <f t="shared" si="25"/>
        <v>0</v>
      </c>
      <c r="AG45" s="127">
        <f t="shared" si="33"/>
        <v>-6.2126493397315352E-3</v>
      </c>
      <c r="AH45" s="128">
        <f t="shared" si="26"/>
        <v>-3.1321650313746079E-3</v>
      </c>
      <c r="AI45" s="111">
        <f t="shared" si="27"/>
        <v>0</v>
      </c>
      <c r="AJ45" s="125">
        <f t="shared" si="28"/>
        <v>0</v>
      </c>
      <c r="AK45" s="124">
        <f t="shared" si="34"/>
        <v>0</v>
      </c>
      <c r="AL45" s="126">
        <f t="shared" si="35"/>
        <v>0</v>
      </c>
      <c r="AM45" s="64"/>
    </row>
    <row r="46" spans="1:40" ht="13.8" thickBot="1">
      <c r="N46" s="7" t="s">
        <v>112</v>
      </c>
      <c r="O46" s="66">
        <f>SUM(O15:O45)</f>
        <v>25.816000000000003</v>
      </c>
      <c r="P46" s="103">
        <f>SUM(P15:P45)</f>
        <v>79.226394886006176</v>
      </c>
    </row>
    <row r="47" spans="1:40" ht="13.8" thickTop="1">
      <c r="A47" s="14"/>
      <c r="B47" s="68"/>
      <c r="C47" s="69"/>
      <c r="D47" s="69"/>
      <c r="E47" s="69"/>
      <c r="F47" s="70"/>
      <c r="G47" s="71"/>
      <c r="H47" s="72"/>
      <c r="I47" s="72"/>
      <c r="J47" s="72"/>
      <c r="K47" s="72"/>
      <c r="L47" s="73"/>
      <c r="M47" s="72"/>
      <c r="N47" s="71" t="s">
        <v>18</v>
      </c>
      <c r="O47" s="72">
        <f>O4/1000000</f>
        <v>3.68</v>
      </c>
      <c r="P47" s="104">
        <f>O47/$D$4</f>
        <v>11.293505313778384</v>
      </c>
      <c r="Q47" s="72"/>
      <c r="R47" s="74"/>
      <c r="S47" s="72"/>
      <c r="T47" s="74"/>
      <c r="U47" s="72"/>
      <c r="V47" s="74"/>
      <c r="W47" s="72"/>
      <c r="X47" s="74"/>
      <c r="Y47" s="72"/>
      <c r="Z47" s="74"/>
      <c r="AA47" s="75"/>
      <c r="AB47" s="71"/>
      <c r="AC47" s="72"/>
      <c r="AD47" s="76"/>
      <c r="AE47" s="72"/>
      <c r="AF47" s="72"/>
      <c r="AG47" s="72"/>
      <c r="AH47" s="72"/>
      <c r="AI47" s="72"/>
      <c r="AJ47" s="72"/>
      <c r="AK47" s="72"/>
      <c r="AL47" s="72"/>
      <c r="AM47" s="77" t="s">
        <v>113</v>
      </c>
      <c r="AN47" s="78" t="s">
        <v>114</v>
      </c>
    </row>
    <row r="48" spans="1:40" ht="13.8" thickBot="1">
      <c r="A48" s="79" t="s">
        <v>115</v>
      </c>
      <c r="B48" s="80">
        <f t="shared" ref="B48:I48" si="36">SUM(B15:B45)</f>
        <v>112.931</v>
      </c>
      <c r="C48" s="81">
        <f t="shared" si="36"/>
        <v>346.57251320388764</v>
      </c>
      <c r="D48" s="81">
        <f t="shared" si="36"/>
        <v>73.116999999999962</v>
      </c>
      <c r="E48" s="81">
        <f t="shared" si="36"/>
        <v>224.38783370313422</v>
      </c>
      <c r="F48" s="82">
        <f t="shared" si="36"/>
        <v>570.96034690702186</v>
      </c>
      <c r="G48" s="83">
        <f t="shared" si="36"/>
        <v>162.745</v>
      </c>
      <c r="H48" s="66">
        <f t="shared" si="36"/>
        <v>499.44606583990844</v>
      </c>
      <c r="I48" s="66">
        <f t="shared" si="36"/>
        <v>172.03513262196529</v>
      </c>
      <c r="J48" s="66"/>
      <c r="K48" s="66">
        <f>SUM(K15:K45)</f>
        <v>197.74558304325689</v>
      </c>
      <c r="L48" s="84">
        <f>SUM(L15:L45)</f>
        <v>129.66535017468627</v>
      </c>
      <c r="M48" s="85"/>
      <c r="N48" s="83"/>
      <c r="O48" s="66">
        <f>SUM(O15:O45)+O47</f>
        <v>29.496000000000002</v>
      </c>
      <c r="P48" s="103">
        <f>SUM(P15:P45)+P47</f>
        <v>90.519900199784558</v>
      </c>
      <c r="Q48" s="66"/>
      <c r="R48" s="67">
        <f>SUM(R15:R45)</f>
        <v>0</v>
      </c>
      <c r="S48" s="66"/>
      <c r="T48" s="67">
        <f>SUM(T15:T45)</f>
        <v>0</v>
      </c>
      <c r="U48" s="66"/>
      <c r="V48" s="67">
        <f>SUM(V15:V45)</f>
        <v>72.229999999999976</v>
      </c>
      <c r="W48" s="66"/>
      <c r="X48" s="67">
        <f>SUM(X15:X45)</f>
        <v>0</v>
      </c>
      <c r="Y48" s="86"/>
      <c r="Z48" s="67">
        <f>SUM(Z15:Z45)</f>
        <v>0</v>
      </c>
      <c r="AA48" s="86"/>
      <c r="AB48" s="83">
        <f>SUM(AB15:AB45)</f>
        <v>5.6739999999999977</v>
      </c>
      <c r="AC48" s="66"/>
      <c r="AD48" s="87"/>
      <c r="AE48" s="66">
        <f>SUM(AE15:AE45)</f>
        <v>12.686</v>
      </c>
      <c r="AF48" s="66"/>
      <c r="AG48" s="66"/>
      <c r="AH48" s="66"/>
      <c r="AI48" s="66">
        <f>SUM(AI9:AI45)</f>
        <v>0</v>
      </c>
      <c r="AJ48" s="66"/>
      <c r="AK48" s="66">
        <f>SUM(AK15:AK45)</f>
        <v>146.36927971839046</v>
      </c>
      <c r="AL48" s="66"/>
      <c r="AM48" s="88">
        <f>SUM(AK48+(P47/I4))</f>
        <v>165.84084060421526</v>
      </c>
      <c r="AN48" s="7">
        <f>+SUM(V48+P47+AE48)/I4</f>
        <v>165.87845743754889</v>
      </c>
    </row>
    <row r="49" spans="1:30" ht="13.8" thickTop="1">
      <c r="A49" s="8" t="s">
        <v>116</v>
      </c>
    </row>
    <row r="50" spans="1:30">
      <c r="B50" s="113">
        <v>5</v>
      </c>
      <c r="C50" s="7" t="s">
        <v>117</v>
      </c>
      <c r="G50" s="7" t="s">
        <v>118</v>
      </c>
      <c r="H50" s="89" t="s">
        <v>119</v>
      </c>
      <c r="P50" s="7" t="s">
        <v>120</v>
      </c>
      <c r="AB50" s="7" t="s">
        <v>121</v>
      </c>
      <c r="AD50" s="7" t="s">
        <v>122</v>
      </c>
    </row>
    <row r="51" spans="1:30">
      <c r="B51" s="90">
        <v>5</v>
      </c>
      <c r="C51" s="7" t="s">
        <v>123</v>
      </c>
      <c r="H51" s="7" t="s">
        <v>124</v>
      </c>
      <c r="P51" s="7" t="s">
        <v>125</v>
      </c>
      <c r="AD51" s="7" t="s">
        <v>126</v>
      </c>
    </row>
    <row r="52" spans="1:30">
      <c r="H52" s="7" t="s">
        <v>127</v>
      </c>
      <c r="P52" s="7" t="s">
        <v>128</v>
      </c>
    </row>
    <row r="53" spans="1:30" ht="12.6" customHeight="1">
      <c r="H53" s="7" t="s">
        <v>129</v>
      </c>
    </row>
    <row r="54" spans="1:30">
      <c r="H54" s="7" t="s">
        <v>130</v>
      </c>
    </row>
    <row r="55" spans="1:30">
      <c r="H55" s="7" t="s">
        <v>131</v>
      </c>
    </row>
    <row r="63" spans="1:30" ht="17.399999999999999">
      <c r="A63" s="91" t="s">
        <v>132</v>
      </c>
      <c r="I63" s="8" t="s">
        <v>133</v>
      </c>
      <c r="J63" s="8"/>
      <c r="K63" s="7" t="s">
        <v>134</v>
      </c>
    </row>
    <row r="64" spans="1:30">
      <c r="A64" s="7" t="s">
        <v>135</v>
      </c>
      <c r="I64" s="7">
        <v>2009</v>
      </c>
      <c r="L64" s="7">
        <v>2010</v>
      </c>
      <c r="O64" s="7">
        <v>2011</v>
      </c>
    </row>
    <row r="65" spans="1:19">
      <c r="A65" s="92" t="s">
        <v>136</v>
      </c>
      <c r="B65" s="93" t="s">
        <v>137</v>
      </c>
      <c r="C65" s="92" t="s">
        <v>138</v>
      </c>
      <c r="I65" s="94" t="s">
        <v>139</v>
      </c>
      <c r="J65" s="95">
        <v>3.5</v>
      </c>
      <c r="L65" s="94" t="s">
        <v>139</v>
      </c>
      <c r="M65" s="95">
        <v>2.72</v>
      </c>
      <c r="O65" s="94" t="s">
        <v>139</v>
      </c>
      <c r="P65" s="95">
        <v>1.33</v>
      </c>
    </row>
    <row r="66" spans="1:19">
      <c r="A66" s="7" t="s">
        <v>139</v>
      </c>
      <c r="B66" s="7">
        <v>1</v>
      </c>
      <c r="C66" s="10">
        <v>0.91484999999999994</v>
      </c>
      <c r="I66" s="7" t="s">
        <v>140</v>
      </c>
      <c r="J66" s="7">
        <v>3.29</v>
      </c>
      <c r="L66" s="7" t="s">
        <v>140</v>
      </c>
      <c r="M66" s="95">
        <v>2.56</v>
      </c>
      <c r="O66" s="7" t="s">
        <v>140</v>
      </c>
      <c r="P66" s="95">
        <v>1.25</v>
      </c>
    </row>
    <row r="67" spans="1:19">
      <c r="A67" s="7" t="s">
        <v>141</v>
      </c>
      <c r="B67" s="7">
        <v>2</v>
      </c>
      <c r="C67" s="10">
        <v>0.91484999999999994</v>
      </c>
      <c r="I67" s="7" t="s">
        <v>142</v>
      </c>
      <c r="J67" s="7">
        <v>3.36</v>
      </c>
      <c r="L67" s="7" t="s">
        <v>142</v>
      </c>
      <c r="M67" s="95">
        <v>2.61</v>
      </c>
      <c r="O67" s="7" t="s">
        <v>142</v>
      </c>
      <c r="P67" s="95">
        <v>1.28</v>
      </c>
    </row>
    <row r="68" spans="1:19">
      <c r="A68" s="7" t="s">
        <v>142</v>
      </c>
      <c r="B68" s="7">
        <v>3</v>
      </c>
      <c r="C68" s="10">
        <v>0.91484999999999994</v>
      </c>
      <c r="I68" s="7" t="s">
        <v>143</v>
      </c>
      <c r="J68" s="7">
        <v>3.64</v>
      </c>
      <c r="L68" s="7" t="s">
        <v>143</v>
      </c>
      <c r="M68" s="95">
        <v>2.83</v>
      </c>
      <c r="O68" s="7" t="s">
        <v>143</v>
      </c>
      <c r="P68" s="95">
        <v>1.38</v>
      </c>
    </row>
    <row r="69" spans="1:19">
      <c r="A69" s="7" t="s">
        <v>143</v>
      </c>
      <c r="B69" s="7">
        <v>4</v>
      </c>
      <c r="C69" s="10">
        <v>0.69395854326628792</v>
      </c>
      <c r="I69" s="7" t="s">
        <v>144</v>
      </c>
      <c r="J69" s="7">
        <v>4.29</v>
      </c>
      <c r="L69" s="7" t="s">
        <v>144</v>
      </c>
      <c r="M69" s="95">
        <v>3.34</v>
      </c>
      <c r="O69" s="7" t="s">
        <v>144</v>
      </c>
      <c r="P69" s="95">
        <v>1.63</v>
      </c>
    </row>
    <row r="70" spans="1:19">
      <c r="A70" s="7" t="s">
        <v>144</v>
      </c>
      <c r="B70" s="7">
        <v>5</v>
      </c>
      <c r="C70" s="10">
        <v>0.47395791163384254</v>
      </c>
      <c r="I70" s="7" t="s">
        <v>145</v>
      </c>
      <c r="J70" s="7">
        <v>5.01</v>
      </c>
      <c r="L70" s="7" t="s">
        <v>145</v>
      </c>
      <c r="M70" s="95">
        <v>3.9</v>
      </c>
      <c r="O70" s="7" t="s">
        <v>145</v>
      </c>
      <c r="P70" s="95">
        <v>1.9</v>
      </c>
    </row>
    <row r="71" spans="1:19">
      <c r="A71" s="7" t="s">
        <v>146</v>
      </c>
      <c r="B71" s="7">
        <v>6</v>
      </c>
      <c r="C71" s="10">
        <v>0.34135358711042857</v>
      </c>
      <c r="I71" s="7" t="s">
        <v>147</v>
      </c>
      <c r="J71" s="7">
        <v>5.65</v>
      </c>
      <c r="L71" s="7" t="s">
        <v>147</v>
      </c>
      <c r="M71" s="95">
        <v>4.3899999999999997</v>
      </c>
      <c r="O71" s="7" t="s">
        <v>147</v>
      </c>
      <c r="P71" s="95">
        <v>2.14</v>
      </c>
      <c r="R71" s="95"/>
      <c r="S71" s="95"/>
    </row>
    <row r="72" spans="1:19">
      <c r="A72" s="7" t="s">
        <v>148</v>
      </c>
      <c r="B72" s="7">
        <v>7</v>
      </c>
      <c r="C72" s="10">
        <v>0.26955903209176729</v>
      </c>
      <c r="I72" s="7" t="s">
        <v>149</v>
      </c>
      <c r="J72" s="7">
        <v>5.99</v>
      </c>
      <c r="L72" s="7" t="s">
        <v>149</v>
      </c>
      <c r="M72" s="95">
        <v>4.66</v>
      </c>
      <c r="O72" s="7" t="s">
        <v>149</v>
      </c>
      <c r="P72" s="95">
        <v>2.2599999999999998</v>
      </c>
      <c r="R72" s="95"/>
    </row>
    <row r="73" spans="1:19">
      <c r="A73" s="7" t="s">
        <v>149</v>
      </c>
      <c r="B73" s="7">
        <v>8</v>
      </c>
      <c r="C73" s="10">
        <v>0.30184032131372229</v>
      </c>
      <c r="I73" s="7" t="s">
        <v>150</v>
      </c>
      <c r="J73" s="7">
        <v>4.5599999999999996</v>
      </c>
      <c r="L73" s="7" t="s">
        <v>150</v>
      </c>
      <c r="M73" s="95">
        <v>2.21</v>
      </c>
      <c r="O73" s="7" t="s">
        <v>150</v>
      </c>
      <c r="P73" s="95"/>
    </row>
    <row r="74" spans="1:19">
      <c r="A74" s="7" t="s">
        <v>151</v>
      </c>
      <c r="B74" s="7">
        <v>9</v>
      </c>
      <c r="C74" s="10">
        <v>0.38706205888350947</v>
      </c>
      <c r="I74" s="7" t="s">
        <v>152</v>
      </c>
      <c r="J74" s="7">
        <v>4.16</v>
      </c>
      <c r="L74" s="7" t="s">
        <v>152</v>
      </c>
      <c r="M74" s="95">
        <v>2.02</v>
      </c>
      <c r="O74" s="7" t="s">
        <v>152</v>
      </c>
      <c r="P74" s="95"/>
    </row>
    <row r="75" spans="1:19">
      <c r="A75" s="7" t="s">
        <v>152</v>
      </c>
      <c r="B75" s="7">
        <v>10</v>
      </c>
      <c r="C75" s="10">
        <v>0.58287982126920235</v>
      </c>
      <c r="I75" s="7" t="s">
        <v>153</v>
      </c>
      <c r="J75" s="7">
        <v>3.62</v>
      </c>
      <c r="L75" s="7" t="s">
        <v>153</v>
      </c>
      <c r="M75" s="95">
        <v>1.77</v>
      </c>
      <c r="O75" s="7" t="s">
        <v>153</v>
      </c>
      <c r="P75" s="95"/>
    </row>
    <row r="76" spans="1:19">
      <c r="A76" s="7" t="s">
        <v>153</v>
      </c>
      <c r="B76" s="7">
        <v>11</v>
      </c>
      <c r="C76" s="10">
        <v>0.91484999999999994</v>
      </c>
      <c r="I76" s="7" t="s">
        <v>154</v>
      </c>
      <c r="J76" s="7">
        <v>3.13</v>
      </c>
      <c r="L76" s="7" t="s">
        <v>154</v>
      </c>
      <c r="M76" s="95">
        <v>1.53</v>
      </c>
      <c r="O76" s="7" t="s">
        <v>154</v>
      </c>
      <c r="P76" s="95"/>
    </row>
    <row r="77" spans="1:19">
      <c r="A77" s="7" t="s">
        <v>154</v>
      </c>
      <c r="B77" s="7">
        <v>12</v>
      </c>
      <c r="C77" s="10">
        <v>0.91484999999999994</v>
      </c>
      <c r="J77" s="96"/>
    </row>
    <row r="78" spans="1:19">
      <c r="I78" s="7" t="s">
        <v>155</v>
      </c>
    </row>
    <row r="79" spans="1:19">
      <c r="I79" s="7" t="s">
        <v>156</v>
      </c>
      <c r="L79" s="95">
        <f>SUM(J73+J74+J75+J76+M65+M66+M67+M68+M69+M70+M71+M72)</f>
        <v>42.480000000000004</v>
      </c>
    </row>
    <row r="80" spans="1:19">
      <c r="I80" s="7" t="s">
        <v>157</v>
      </c>
      <c r="L80" s="95">
        <f>SUM(M73+M74+M75+M76+P65+P66+P67+P68+P69+P70+P71+P72)</f>
        <v>20.699999999999996</v>
      </c>
    </row>
    <row r="82" spans="9:14">
      <c r="I82" s="8" t="s">
        <v>158</v>
      </c>
    </row>
    <row r="83" spans="9:14">
      <c r="I83" s="8" t="s">
        <v>159</v>
      </c>
    </row>
    <row r="85" spans="9:14">
      <c r="I85" s="78" t="s">
        <v>160</v>
      </c>
      <c r="J85" s="78" t="s">
        <v>161</v>
      </c>
      <c r="K85" s="78" t="s">
        <v>162</v>
      </c>
      <c r="L85" s="78" t="s">
        <v>163</v>
      </c>
      <c r="M85" s="78" t="s">
        <v>163</v>
      </c>
    </row>
    <row r="86" spans="9:14">
      <c r="I86" s="78"/>
      <c r="J86" s="78"/>
      <c r="K86" s="78" t="s">
        <v>164</v>
      </c>
      <c r="L86" s="78" t="s">
        <v>165</v>
      </c>
      <c r="M86" s="78" t="s">
        <v>166</v>
      </c>
    </row>
    <row r="88" spans="9:14">
      <c r="I88" s="97">
        <v>39821</v>
      </c>
      <c r="J88" s="95">
        <v>1.56</v>
      </c>
      <c r="K88" s="95">
        <v>0</v>
      </c>
      <c r="L88" s="95">
        <v>1.56</v>
      </c>
      <c r="M88" s="95">
        <v>0</v>
      </c>
    </row>
    <row r="89" spans="9:14">
      <c r="I89" s="97">
        <v>39852</v>
      </c>
      <c r="J89" s="95">
        <v>0</v>
      </c>
      <c r="K89" s="95">
        <v>0</v>
      </c>
      <c r="L89" s="95">
        <v>0</v>
      </c>
      <c r="M89" s="95">
        <v>0</v>
      </c>
      <c r="N89" s="7" t="s">
        <v>167</v>
      </c>
    </row>
    <row r="90" spans="9:14">
      <c r="I90" s="97">
        <v>39880</v>
      </c>
      <c r="J90" s="95">
        <v>2.39</v>
      </c>
      <c r="K90" s="95">
        <v>0</v>
      </c>
      <c r="L90" s="95">
        <v>2.39</v>
      </c>
      <c r="M90" s="95">
        <v>0</v>
      </c>
    </row>
    <row r="91" spans="9:14">
      <c r="I91" s="97">
        <v>39911</v>
      </c>
      <c r="J91" s="95">
        <v>70.09</v>
      </c>
      <c r="K91" s="95">
        <v>54.67</v>
      </c>
      <c r="L91" s="95">
        <v>13.08</v>
      </c>
      <c r="M91" s="95">
        <v>2.34</v>
      </c>
    </row>
    <row r="92" spans="9:14">
      <c r="I92" s="97">
        <v>39941</v>
      </c>
      <c r="J92" s="95">
        <v>19.36</v>
      </c>
      <c r="K92" s="95">
        <v>6.63</v>
      </c>
      <c r="L92" s="95">
        <v>9.07</v>
      </c>
      <c r="M92" s="95">
        <v>3.67</v>
      </c>
    </row>
    <row r="93" spans="9:14">
      <c r="I93" s="97">
        <v>39972</v>
      </c>
      <c r="J93" s="95">
        <v>18.850000000000001</v>
      </c>
      <c r="K93" s="95">
        <v>18.489999999999998</v>
      </c>
      <c r="L93" s="95">
        <v>0.36</v>
      </c>
      <c r="M93" s="95">
        <v>0</v>
      </c>
    </row>
    <row r="94" spans="9:14">
      <c r="I94" s="97">
        <v>40002</v>
      </c>
      <c r="J94" s="95">
        <v>3.68</v>
      </c>
      <c r="K94" s="95">
        <v>1.72</v>
      </c>
      <c r="L94" s="95">
        <v>0.97</v>
      </c>
      <c r="M94" s="95">
        <v>0.99</v>
      </c>
    </row>
    <row r="95" spans="9:14">
      <c r="I95" s="97">
        <v>40033</v>
      </c>
      <c r="J95" s="95">
        <v>0</v>
      </c>
      <c r="K95" s="95">
        <v>0</v>
      </c>
      <c r="L95" s="95">
        <v>0.48</v>
      </c>
      <c r="M95" s="95">
        <v>0</v>
      </c>
      <c r="N95" s="7" t="s">
        <v>168</v>
      </c>
    </row>
    <row r="96" spans="9:14">
      <c r="I96" s="97">
        <v>40064</v>
      </c>
      <c r="J96" s="95">
        <v>0</v>
      </c>
      <c r="K96" s="95">
        <v>0</v>
      </c>
      <c r="L96" s="95">
        <v>0.25</v>
      </c>
      <c r="M96" s="95">
        <v>0</v>
      </c>
      <c r="N96" s="7" t="s">
        <v>169</v>
      </c>
    </row>
    <row r="97" spans="9:13">
      <c r="I97" s="97">
        <v>40094</v>
      </c>
      <c r="J97" s="95">
        <v>3.78</v>
      </c>
      <c r="K97" s="95">
        <v>3.78</v>
      </c>
      <c r="L97" s="95">
        <v>0</v>
      </c>
      <c r="M97" s="95">
        <v>0</v>
      </c>
    </row>
    <row r="98" spans="9:13">
      <c r="I98" s="97">
        <v>40125</v>
      </c>
      <c r="J98" s="95">
        <v>11.13</v>
      </c>
      <c r="K98" s="95">
        <v>11.13</v>
      </c>
      <c r="L98" s="95">
        <v>0</v>
      </c>
      <c r="M98" s="95">
        <v>0</v>
      </c>
    </row>
    <row r="99" spans="9:13">
      <c r="I99" s="97">
        <v>40155</v>
      </c>
      <c r="J99" s="95"/>
      <c r="K99" s="95"/>
      <c r="L99" s="95"/>
      <c r="M99" s="95"/>
    </row>
    <row r="100" spans="9:13">
      <c r="J100" s="95"/>
      <c r="K100" s="95"/>
      <c r="L100" s="95"/>
      <c r="M100" s="95"/>
    </row>
    <row r="101" spans="9:13">
      <c r="I101" s="7" t="s">
        <v>50</v>
      </c>
      <c r="J101" s="95">
        <f>SUM(J88:J99)</f>
        <v>130.84</v>
      </c>
      <c r="K101" s="95">
        <f>SUM(K88:K99)</f>
        <v>96.42</v>
      </c>
      <c r="L101" s="95">
        <f>SUM(L88:L99)</f>
        <v>28.16</v>
      </c>
      <c r="M101" s="95">
        <f>SUM(M88:M98)</f>
        <v>7</v>
      </c>
    </row>
    <row r="103" spans="9:13">
      <c r="I103" s="7" t="s">
        <v>170</v>
      </c>
    </row>
    <row r="106" spans="9:13">
      <c r="I106" s="8" t="s">
        <v>171</v>
      </c>
    </row>
    <row r="107" spans="9:13">
      <c r="I107" s="7">
        <v>2009</v>
      </c>
      <c r="K107" s="7">
        <v>2010</v>
      </c>
    </row>
    <row r="108" spans="9:13">
      <c r="K108" s="7" t="s">
        <v>139</v>
      </c>
      <c r="L108" s="7">
        <v>0.23</v>
      </c>
    </row>
    <row r="109" spans="9:13">
      <c r="K109" s="7" t="s">
        <v>141</v>
      </c>
      <c r="L109" s="7">
        <v>0.22</v>
      </c>
    </row>
    <row r="110" spans="9:13">
      <c r="K110" s="7" t="s">
        <v>142</v>
      </c>
      <c r="L110" s="7">
        <v>0.22</v>
      </c>
    </row>
    <row r="111" spans="9:13">
      <c r="K111" s="7" t="s">
        <v>143</v>
      </c>
      <c r="L111" s="7">
        <v>0.23</v>
      </c>
    </row>
    <row r="113" spans="9:13">
      <c r="I113" s="7" t="s">
        <v>145</v>
      </c>
      <c r="J113" s="7">
        <v>0.06</v>
      </c>
    </row>
    <row r="114" spans="9:13">
      <c r="I114" s="7" t="s">
        <v>147</v>
      </c>
      <c r="J114" s="7">
        <v>0.2</v>
      </c>
      <c r="M114" s="7" t="s">
        <v>172</v>
      </c>
    </row>
    <row r="115" spans="9:13">
      <c r="I115" s="7" t="s">
        <v>149</v>
      </c>
      <c r="J115" s="7">
        <v>0.31</v>
      </c>
    </row>
    <row r="116" spans="9:13">
      <c r="I116" s="7" t="s">
        <v>150</v>
      </c>
      <c r="J116" s="7">
        <v>0.35</v>
      </c>
    </row>
    <row r="117" spans="9:13">
      <c r="I117" s="7" t="s">
        <v>152</v>
      </c>
      <c r="J117" s="7">
        <v>0.33</v>
      </c>
    </row>
    <row r="118" spans="9:13">
      <c r="I118" s="7" t="s">
        <v>153</v>
      </c>
      <c r="J118" s="7">
        <v>0.31</v>
      </c>
    </row>
    <row r="119" spans="9:13">
      <c r="I119" s="7" t="s">
        <v>154</v>
      </c>
      <c r="J119" s="7">
        <v>0.26</v>
      </c>
    </row>
  </sheetData>
  <protectedRanges>
    <protectedRange sqref="B2" name="DateSelection"/>
  </protectedRanges>
  <mergeCells count="41">
    <mergeCell ref="B6:F6"/>
    <mergeCell ref="G6:L6"/>
    <mergeCell ref="M6:M9"/>
    <mergeCell ref="N6:N9"/>
    <mergeCell ref="O6:AA6"/>
    <mergeCell ref="B8:C9"/>
    <mergeCell ref="D8:E9"/>
    <mergeCell ref="G8:H9"/>
    <mergeCell ref="T8:U9"/>
    <mergeCell ref="X9:Y9"/>
    <mergeCell ref="Z9:AA9"/>
    <mergeCell ref="AI6:AL7"/>
    <mergeCell ref="K7:L7"/>
    <mergeCell ref="R7:T7"/>
    <mergeCell ref="V7:W9"/>
    <mergeCell ref="X7:AA7"/>
    <mergeCell ref="AB7:AC9"/>
    <mergeCell ref="AD7:AF9"/>
    <mergeCell ref="AG7:AH9"/>
    <mergeCell ref="O8:Q9"/>
    <mergeCell ref="R8:S9"/>
    <mergeCell ref="AB6:AH6"/>
    <mergeCell ref="X8:Y8"/>
    <mergeCell ref="Z8:AA8"/>
    <mergeCell ref="AI8:AI9"/>
    <mergeCell ref="AJ8:AJ9"/>
    <mergeCell ref="AK8:AL9"/>
    <mergeCell ref="A13:A14"/>
    <mergeCell ref="AB10:AC10"/>
    <mergeCell ref="AD10:AE10"/>
    <mergeCell ref="AG10:AH10"/>
    <mergeCell ref="AI10:AL10"/>
    <mergeCell ref="P11:Q11"/>
    <mergeCell ref="R12:S12"/>
    <mergeCell ref="T12:U12"/>
    <mergeCell ref="P10:Q10"/>
    <mergeCell ref="R10:S10"/>
    <mergeCell ref="T10:U10"/>
    <mergeCell ref="V10:W10"/>
    <mergeCell ref="X10:Y10"/>
    <mergeCell ref="Z10:AA10"/>
  </mergeCells>
  <pageMargins left="0.56999999999999995" right="0.19" top="0.28999999999999998" bottom="0.38" header="0.17" footer="0.18"/>
  <pageSetup scale="73" fitToWidth="0" orientation="landscape" r:id="rId1"/>
  <headerFooter alignWithMargins="0">
    <oddFooter>&amp;L&amp;F&amp;C&amp;D&amp;RPage &amp;P of &amp;N</oddFooter>
  </headerFooter>
  <rowBreaks count="1" manualBreakCount="1">
    <brk id="55" max="16383" man="1"/>
  </rowBreaks>
  <colBreaks count="2" manualBreakCount="2">
    <brk id="13" max="1048575" man="1"/>
    <brk id="27" max="1048575" man="1"/>
  </col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33"/>
  <sheetViews>
    <sheetView workbookViewId="0">
      <selection activeCell="B12" sqref="B12"/>
    </sheetView>
  </sheetViews>
  <sheetFormatPr defaultRowHeight="14.4"/>
  <cols>
    <col min="1" max="1" width="18.21875" bestFit="1" customWidth="1"/>
    <col min="2" max="2" width="23.21875" bestFit="1" customWidth="1"/>
    <col min="3" max="3" width="15.33203125" bestFit="1" customWidth="1"/>
    <col min="4" max="4" width="18" bestFit="1" customWidth="1"/>
  </cols>
  <sheetData>
    <row r="1" spans="1:4">
      <c r="A1" t="s">
        <v>10</v>
      </c>
      <c r="B1" t="s">
        <v>11</v>
      </c>
      <c r="C1" t="s">
        <v>12</v>
      </c>
      <c r="D1" t="s">
        <v>180</v>
      </c>
    </row>
    <row r="2" spans="1:4">
      <c r="A2">
        <v>41</v>
      </c>
      <c r="B2" s="2" t="s">
        <v>181</v>
      </c>
      <c r="C2" s="6">
        <v>40086</v>
      </c>
      <c r="D2">
        <v>99999</v>
      </c>
    </row>
    <row r="3" spans="1:4">
      <c r="A3">
        <v>41</v>
      </c>
      <c r="B3" s="2" t="s">
        <v>181</v>
      </c>
      <c r="C3" s="6">
        <v>40087</v>
      </c>
      <c r="D3">
        <v>99999</v>
      </c>
    </row>
    <row r="4" spans="1:4">
      <c r="A4">
        <v>41</v>
      </c>
      <c r="B4" s="2" t="s">
        <v>181</v>
      </c>
      <c r="C4" s="6">
        <v>40088</v>
      </c>
      <c r="D4">
        <v>99999</v>
      </c>
    </row>
    <row r="5" spans="1:4">
      <c r="A5">
        <v>41</v>
      </c>
      <c r="B5" s="2" t="s">
        <v>181</v>
      </c>
      <c r="C5" s="6">
        <v>40089</v>
      </c>
      <c r="D5">
        <v>99999</v>
      </c>
    </row>
    <row r="6" spans="1:4">
      <c r="A6">
        <v>41</v>
      </c>
      <c r="B6" s="2" t="s">
        <v>181</v>
      </c>
      <c r="C6" s="6">
        <v>40090</v>
      </c>
      <c r="D6">
        <v>99999</v>
      </c>
    </row>
    <row r="7" spans="1:4">
      <c r="A7">
        <v>41</v>
      </c>
      <c r="B7" s="2" t="s">
        <v>181</v>
      </c>
      <c r="C7" s="6">
        <v>40091</v>
      </c>
      <c r="D7">
        <v>99999</v>
      </c>
    </row>
    <row r="8" spans="1:4">
      <c r="A8">
        <v>41</v>
      </c>
      <c r="B8" s="2" t="s">
        <v>181</v>
      </c>
      <c r="C8" s="6">
        <v>40092</v>
      </c>
      <c r="D8">
        <v>99999</v>
      </c>
    </row>
    <row r="9" spans="1:4">
      <c r="A9">
        <v>41</v>
      </c>
      <c r="B9" s="2" t="s">
        <v>181</v>
      </c>
      <c r="C9" s="6">
        <v>40093</v>
      </c>
      <c r="D9">
        <v>99999</v>
      </c>
    </row>
    <row r="10" spans="1:4">
      <c r="A10">
        <v>41</v>
      </c>
      <c r="B10" s="2" t="s">
        <v>181</v>
      </c>
      <c r="C10" s="6">
        <v>40094</v>
      </c>
      <c r="D10">
        <v>99999</v>
      </c>
    </row>
    <row r="11" spans="1:4">
      <c r="A11">
        <v>41</v>
      </c>
      <c r="B11" s="2" t="s">
        <v>181</v>
      </c>
      <c r="C11" s="6">
        <v>40095</v>
      </c>
      <c r="D11">
        <v>99999</v>
      </c>
    </row>
    <row r="12" spans="1:4">
      <c r="A12">
        <v>41</v>
      </c>
      <c r="B12" s="2" t="s">
        <v>181</v>
      </c>
      <c r="C12" s="6">
        <v>40096</v>
      </c>
      <c r="D12">
        <v>99999</v>
      </c>
    </row>
    <row r="13" spans="1:4">
      <c r="A13">
        <v>41</v>
      </c>
      <c r="B13" s="2" t="s">
        <v>181</v>
      </c>
      <c r="C13" s="6">
        <v>40097</v>
      </c>
      <c r="D13">
        <v>99999</v>
      </c>
    </row>
    <row r="14" spans="1:4">
      <c r="A14">
        <v>41</v>
      </c>
      <c r="B14" s="2" t="s">
        <v>181</v>
      </c>
      <c r="C14" s="6">
        <v>40098</v>
      </c>
      <c r="D14">
        <v>99999</v>
      </c>
    </row>
    <row r="15" spans="1:4">
      <c r="A15">
        <v>41</v>
      </c>
      <c r="B15" s="2" t="s">
        <v>181</v>
      </c>
      <c r="C15" s="6">
        <v>40099</v>
      </c>
      <c r="D15">
        <v>99999</v>
      </c>
    </row>
    <row r="16" spans="1:4">
      <c r="A16">
        <v>41</v>
      </c>
      <c r="B16" s="2" t="s">
        <v>181</v>
      </c>
      <c r="C16" s="6">
        <v>40100</v>
      </c>
      <c r="D16">
        <v>99999</v>
      </c>
    </row>
    <row r="17" spans="1:4">
      <c r="A17">
        <v>41</v>
      </c>
      <c r="B17" s="2" t="s">
        <v>181</v>
      </c>
      <c r="C17" s="6">
        <v>40101</v>
      </c>
      <c r="D17">
        <v>99999</v>
      </c>
    </row>
    <row r="18" spans="1:4">
      <c r="A18">
        <v>41</v>
      </c>
      <c r="B18" s="2" t="s">
        <v>181</v>
      </c>
      <c r="C18" s="6">
        <v>40102</v>
      </c>
      <c r="D18">
        <v>99999</v>
      </c>
    </row>
    <row r="19" spans="1:4">
      <c r="A19">
        <v>41</v>
      </c>
      <c r="B19" s="2" t="s">
        <v>181</v>
      </c>
      <c r="C19" s="6">
        <v>40103</v>
      </c>
      <c r="D19">
        <v>99999</v>
      </c>
    </row>
    <row r="20" spans="1:4">
      <c r="A20">
        <v>41</v>
      </c>
      <c r="B20" s="2" t="s">
        <v>181</v>
      </c>
      <c r="C20" s="6">
        <v>40104</v>
      </c>
      <c r="D20">
        <v>99999</v>
      </c>
    </row>
    <row r="21" spans="1:4">
      <c r="A21">
        <v>41</v>
      </c>
      <c r="B21" s="2" t="s">
        <v>181</v>
      </c>
      <c r="C21" s="6">
        <v>40105</v>
      </c>
      <c r="D21">
        <v>99999</v>
      </c>
    </row>
    <row r="22" spans="1:4">
      <c r="A22">
        <v>41</v>
      </c>
      <c r="B22" s="2" t="s">
        <v>181</v>
      </c>
      <c r="C22" s="6">
        <v>40106</v>
      </c>
      <c r="D22">
        <v>99999</v>
      </c>
    </row>
    <row r="23" spans="1:4">
      <c r="A23">
        <v>41</v>
      </c>
      <c r="B23" s="2" t="s">
        <v>181</v>
      </c>
      <c r="C23" s="6">
        <v>40107</v>
      </c>
      <c r="D23">
        <v>99999</v>
      </c>
    </row>
    <row r="24" spans="1:4">
      <c r="A24">
        <v>41</v>
      </c>
      <c r="B24" s="2" t="s">
        <v>181</v>
      </c>
      <c r="C24" s="6">
        <v>40108</v>
      </c>
      <c r="D24">
        <v>99999</v>
      </c>
    </row>
    <row r="25" spans="1:4">
      <c r="A25">
        <v>41</v>
      </c>
      <c r="B25" s="2" t="s">
        <v>181</v>
      </c>
      <c r="C25" s="6">
        <v>40109</v>
      </c>
      <c r="D25">
        <v>99999</v>
      </c>
    </row>
    <row r="26" spans="1:4">
      <c r="A26">
        <v>41</v>
      </c>
      <c r="B26" s="2" t="s">
        <v>181</v>
      </c>
      <c r="C26" s="6">
        <v>40110</v>
      </c>
      <c r="D26">
        <v>99999</v>
      </c>
    </row>
    <row r="27" spans="1:4">
      <c r="A27">
        <v>41</v>
      </c>
      <c r="B27" s="2" t="s">
        <v>181</v>
      </c>
      <c r="C27" s="6">
        <v>40111</v>
      </c>
      <c r="D27">
        <v>99999</v>
      </c>
    </row>
    <row r="28" spans="1:4">
      <c r="A28">
        <v>41</v>
      </c>
      <c r="B28" s="2" t="s">
        <v>181</v>
      </c>
      <c r="C28" s="6">
        <v>40112</v>
      </c>
      <c r="D28">
        <v>99999</v>
      </c>
    </row>
    <row r="29" spans="1:4">
      <c r="A29">
        <v>41</v>
      </c>
      <c r="B29" s="2" t="s">
        <v>181</v>
      </c>
      <c r="C29" s="6">
        <v>40113</v>
      </c>
      <c r="D29">
        <v>99999</v>
      </c>
    </row>
    <row r="30" spans="1:4">
      <c r="A30">
        <v>41</v>
      </c>
      <c r="B30" s="2" t="s">
        <v>181</v>
      </c>
      <c r="C30" s="6">
        <v>40114</v>
      </c>
      <c r="D30">
        <v>99999</v>
      </c>
    </row>
    <row r="31" spans="1:4">
      <c r="A31">
        <v>41</v>
      </c>
      <c r="B31" s="2" t="s">
        <v>181</v>
      </c>
      <c r="C31" s="6">
        <v>40115</v>
      </c>
      <c r="D31">
        <v>99999</v>
      </c>
    </row>
    <row r="32" spans="1:4">
      <c r="A32">
        <v>41</v>
      </c>
      <c r="B32" s="2" t="s">
        <v>181</v>
      </c>
      <c r="C32" s="6">
        <v>40116</v>
      </c>
      <c r="D32">
        <v>99999</v>
      </c>
    </row>
    <row r="33" spans="1:4">
      <c r="A33">
        <v>41</v>
      </c>
      <c r="B33" s="2" t="s">
        <v>181</v>
      </c>
      <c r="C33" s="6">
        <v>40117</v>
      </c>
      <c r="D33">
        <v>99999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I385"/>
  <sheetViews>
    <sheetView tabSelected="1" workbookViewId="0">
      <selection activeCell="E22" sqref="E22"/>
    </sheetView>
  </sheetViews>
  <sheetFormatPr defaultRowHeight="14.4"/>
  <cols>
    <col min="1" max="1" width="18.21875" bestFit="1" customWidth="1"/>
    <col min="2" max="2" width="31.77734375" bestFit="1" customWidth="1"/>
    <col min="3" max="3" width="15.33203125" bestFit="1" customWidth="1"/>
    <col min="4" max="4" width="16.21875" bestFit="1" customWidth="1"/>
    <col min="6" max="6" width="7.33203125" customWidth="1"/>
    <col min="7" max="7" width="11.88671875" bestFit="1" customWidth="1"/>
    <col min="8" max="8" width="31.77734375" bestFit="1" customWidth="1"/>
  </cols>
  <sheetData>
    <row r="1" spans="1:9">
      <c r="A1" t="s">
        <v>10</v>
      </c>
      <c r="B1" t="s">
        <v>11</v>
      </c>
      <c r="C1" t="s">
        <v>12</v>
      </c>
      <c r="D1" t="s">
        <v>13</v>
      </c>
      <c r="G1" t="s">
        <v>177</v>
      </c>
      <c r="H1" t="s">
        <v>178</v>
      </c>
      <c r="I1" t="s">
        <v>179</v>
      </c>
    </row>
    <row r="2" spans="1:9">
      <c r="A2">
        <v>1</v>
      </c>
      <c r="B2" s="2" t="s">
        <v>0</v>
      </c>
      <c r="C2" s="6">
        <v>40086</v>
      </c>
      <c r="D2">
        <v>4.4980000000000002</v>
      </c>
      <c r="G2">
        <v>1</v>
      </c>
      <c r="H2" t="str">
        <f t="shared" ref="H2:H13" si="0">VLOOKUP(G2,$A$2:$B$484,2)</f>
        <v>total_measured_effluent_production</v>
      </c>
      <c r="I2">
        <f t="shared" ref="I2:I13" si="1">G2+1</f>
        <v>2</v>
      </c>
    </row>
    <row r="3" spans="1:9">
      <c r="A3">
        <v>1</v>
      </c>
      <c r="B3" s="2" t="s">
        <v>0</v>
      </c>
      <c r="C3" s="6">
        <v>40087</v>
      </c>
      <c r="D3">
        <v>4.6079999999999997</v>
      </c>
      <c r="G3">
        <v>2</v>
      </c>
      <c r="H3" t="str">
        <f t="shared" si="0"/>
        <v>denver_potable_water_deliveries</v>
      </c>
      <c r="I3">
        <f t="shared" si="1"/>
        <v>3</v>
      </c>
    </row>
    <row r="4" spans="1:9">
      <c r="A4">
        <v>1</v>
      </c>
      <c r="B4" s="2" t="s">
        <v>0</v>
      </c>
      <c r="C4" s="6">
        <v>40088</v>
      </c>
      <c r="D4">
        <v>5.048</v>
      </c>
      <c r="G4">
        <v>3</v>
      </c>
      <c r="H4" t="str">
        <f t="shared" si="0"/>
        <v>northern_potable_water_deliveries</v>
      </c>
      <c r="I4">
        <f t="shared" si="1"/>
        <v>4</v>
      </c>
    </row>
    <row r="5" spans="1:9">
      <c r="A5">
        <v>1</v>
      </c>
      <c r="B5" s="2" t="s">
        <v>0</v>
      </c>
      <c r="C5" s="6">
        <v>40089</v>
      </c>
      <c r="D5">
        <v>4.8499999999999996</v>
      </c>
      <c r="G5">
        <v>4</v>
      </c>
      <c r="H5" t="str">
        <f t="shared" si="0"/>
        <v>total_reuse_water_pumped</v>
      </c>
      <c r="I5">
        <f t="shared" si="1"/>
        <v>5</v>
      </c>
    </row>
    <row r="6" spans="1:9">
      <c r="A6">
        <v>1</v>
      </c>
      <c r="B6" s="2" t="s">
        <v>0</v>
      </c>
      <c r="C6" s="6">
        <v>40090</v>
      </c>
      <c r="D6">
        <v>4.7990000000000004</v>
      </c>
      <c r="G6">
        <v>5</v>
      </c>
      <c r="H6" t="str">
        <f t="shared" si="0"/>
        <v>direct_flow_right_1998</v>
      </c>
      <c r="I6">
        <f t="shared" si="1"/>
        <v>6</v>
      </c>
    </row>
    <row r="7" spans="1:9">
      <c r="A7">
        <v>1</v>
      </c>
      <c r="B7" s="2" t="s">
        <v>0</v>
      </c>
      <c r="C7" s="6">
        <v>40091</v>
      </c>
      <c r="D7">
        <v>5.3259999999999996</v>
      </c>
      <c r="G7">
        <v>6</v>
      </c>
      <c r="H7" t="str">
        <f t="shared" si="0"/>
        <v>direct_flow_right_1977</v>
      </c>
      <c r="I7">
        <f t="shared" si="1"/>
        <v>7</v>
      </c>
    </row>
    <row r="8" spans="1:9">
      <c r="A8">
        <v>1</v>
      </c>
      <c r="B8" s="2" t="s">
        <v>0</v>
      </c>
      <c r="C8" s="6">
        <v>40092</v>
      </c>
      <c r="D8">
        <v>5.484</v>
      </c>
      <c r="G8">
        <v>7</v>
      </c>
      <c r="H8" t="str">
        <f t="shared" si="0"/>
        <v>windy_gap_effluent</v>
      </c>
      <c r="I8">
        <f t="shared" si="1"/>
        <v>8</v>
      </c>
    </row>
    <row r="9" spans="1:9">
      <c r="A9">
        <v>1</v>
      </c>
      <c r="B9" s="2" t="s">
        <v>0</v>
      </c>
      <c r="C9" s="6">
        <v>40093</v>
      </c>
      <c r="D9">
        <v>5.4359999999999999</v>
      </c>
      <c r="G9">
        <v>8</v>
      </c>
      <c r="H9" t="str">
        <f t="shared" si="0"/>
        <v>consolidated_mutual</v>
      </c>
      <c r="I9">
        <f t="shared" si="1"/>
        <v>9</v>
      </c>
    </row>
    <row r="10" spans="1:9">
      <c r="A10">
        <v>1</v>
      </c>
      <c r="B10" s="2" t="s">
        <v>0</v>
      </c>
      <c r="C10" s="6">
        <v>40094</v>
      </c>
      <c r="D10">
        <v>5.3739999999999997</v>
      </c>
      <c r="G10">
        <v>9</v>
      </c>
      <c r="H10" t="str">
        <f t="shared" si="0"/>
        <v>other_sources</v>
      </c>
      <c r="I10">
        <f t="shared" si="1"/>
        <v>10</v>
      </c>
    </row>
    <row r="11" spans="1:9">
      <c r="A11">
        <v>1</v>
      </c>
      <c r="B11" s="2" t="s">
        <v>0</v>
      </c>
      <c r="C11" s="6">
        <v>40095</v>
      </c>
      <c r="D11">
        <v>5.8390000000000004</v>
      </c>
      <c r="G11">
        <v>10</v>
      </c>
      <c r="H11" t="str">
        <f t="shared" si="0"/>
        <v>other_augmentation_sources</v>
      </c>
      <c r="I11">
        <f t="shared" si="1"/>
        <v>11</v>
      </c>
    </row>
    <row r="12" spans="1:9">
      <c r="A12">
        <v>1</v>
      </c>
      <c r="B12" s="2" t="s">
        <v>0</v>
      </c>
      <c r="C12" s="6">
        <v>40096</v>
      </c>
      <c r="D12">
        <v>5.8170000000000002</v>
      </c>
      <c r="G12">
        <v>11</v>
      </c>
      <c r="H12" t="str">
        <f t="shared" si="0"/>
        <v>aug_releases_windy_gap_eff_to_bdc</v>
      </c>
      <c r="I12">
        <f t="shared" si="1"/>
        <v>12</v>
      </c>
    </row>
    <row r="13" spans="1:9">
      <c r="A13">
        <v>1</v>
      </c>
      <c r="B13" s="2" t="s">
        <v>0</v>
      </c>
      <c r="C13" s="6">
        <v>40097</v>
      </c>
      <c r="D13">
        <v>5.5970000000000004</v>
      </c>
      <c r="G13">
        <v>12</v>
      </c>
      <c r="H13" t="str">
        <f t="shared" si="0"/>
        <v>estimated_raw_wg_deliveries</v>
      </c>
      <c r="I13">
        <f t="shared" si="1"/>
        <v>13</v>
      </c>
    </row>
    <row r="14" spans="1:9">
      <c r="A14">
        <v>1</v>
      </c>
      <c r="B14" s="2" t="s">
        <v>0</v>
      </c>
      <c r="C14" s="6">
        <v>40098</v>
      </c>
      <c r="D14">
        <v>5.4359999999999999</v>
      </c>
    </row>
    <row r="15" spans="1:9">
      <c r="A15">
        <v>1</v>
      </c>
      <c r="B15" s="2" t="s">
        <v>0</v>
      </c>
      <c r="C15" s="6">
        <v>40099</v>
      </c>
      <c r="D15">
        <v>5.1319999999999997</v>
      </c>
    </row>
    <row r="16" spans="1:9">
      <c r="A16">
        <v>1</v>
      </c>
      <c r="B16" s="2" t="s">
        <v>0</v>
      </c>
      <c r="C16" s="6">
        <v>40100</v>
      </c>
      <c r="D16">
        <v>5.0990000000000002</v>
      </c>
    </row>
    <row r="17" spans="1:4">
      <c r="A17">
        <v>1</v>
      </c>
      <c r="B17" s="2" t="s">
        <v>0</v>
      </c>
      <c r="C17" s="6">
        <v>40101</v>
      </c>
      <c r="D17">
        <v>4.8529999999999998</v>
      </c>
    </row>
    <row r="18" spans="1:4">
      <c r="A18">
        <v>1</v>
      </c>
      <c r="B18" s="2" t="s">
        <v>0</v>
      </c>
      <c r="C18" s="6">
        <v>40102</v>
      </c>
      <c r="D18">
        <v>4.7359999999999998</v>
      </c>
    </row>
    <row r="19" spans="1:4">
      <c r="A19">
        <v>1</v>
      </c>
      <c r="B19" s="2" t="s">
        <v>0</v>
      </c>
      <c r="C19" s="6">
        <v>40103</v>
      </c>
      <c r="D19">
        <v>4.5970000000000004</v>
      </c>
    </row>
    <row r="20" spans="1:4">
      <c r="A20">
        <v>1</v>
      </c>
      <c r="B20" s="2" t="s">
        <v>0</v>
      </c>
      <c r="C20" s="6">
        <v>40104</v>
      </c>
      <c r="D20">
        <v>4.6589999999999998</v>
      </c>
    </row>
    <row r="21" spans="1:4">
      <c r="A21">
        <v>1</v>
      </c>
      <c r="B21" s="2" t="s">
        <v>0</v>
      </c>
      <c r="C21" s="6">
        <v>40105</v>
      </c>
      <c r="D21">
        <v>4.9160000000000004</v>
      </c>
    </row>
    <row r="22" spans="1:4">
      <c r="A22">
        <v>1</v>
      </c>
      <c r="B22" s="2" t="s">
        <v>0</v>
      </c>
      <c r="C22" s="6">
        <v>40106</v>
      </c>
      <c r="D22">
        <v>4.875</v>
      </c>
    </row>
    <row r="23" spans="1:4">
      <c r="A23">
        <v>1</v>
      </c>
      <c r="B23" s="2" t="s">
        <v>0</v>
      </c>
      <c r="C23" s="6">
        <v>40107</v>
      </c>
      <c r="D23">
        <v>5.78</v>
      </c>
    </row>
    <row r="24" spans="1:4">
      <c r="A24">
        <v>1</v>
      </c>
      <c r="B24" s="2" t="s">
        <v>0</v>
      </c>
      <c r="C24" s="6">
        <v>40108</v>
      </c>
      <c r="D24">
        <v>5.399</v>
      </c>
    </row>
    <row r="25" spans="1:4">
      <c r="A25">
        <v>1</v>
      </c>
      <c r="B25" s="2" t="s">
        <v>0</v>
      </c>
      <c r="C25" s="6">
        <v>40109</v>
      </c>
      <c r="D25">
        <v>4.9710000000000001</v>
      </c>
    </row>
    <row r="26" spans="1:4">
      <c r="A26">
        <v>1</v>
      </c>
      <c r="B26" s="2" t="s">
        <v>0</v>
      </c>
      <c r="C26" s="6">
        <v>40110</v>
      </c>
      <c r="D26">
        <v>4.8609999999999998</v>
      </c>
    </row>
    <row r="27" spans="1:4">
      <c r="A27">
        <v>1</v>
      </c>
      <c r="B27" s="2" t="s">
        <v>0</v>
      </c>
      <c r="C27" s="6">
        <v>40111</v>
      </c>
      <c r="D27">
        <v>5.33</v>
      </c>
    </row>
    <row r="28" spans="1:4">
      <c r="A28">
        <v>1</v>
      </c>
      <c r="B28" s="2" t="s">
        <v>0</v>
      </c>
      <c r="C28" s="6">
        <v>40112</v>
      </c>
      <c r="D28">
        <v>5.41</v>
      </c>
    </row>
    <row r="29" spans="1:4">
      <c r="A29">
        <v>1</v>
      </c>
      <c r="B29" s="2" t="s">
        <v>0</v>
      </c>
      <c r="C29" s="6">
        <v>40113</v>
      </c>
      <c r="D29">
        <v>5.0990000000000002</v>
      </c>
    </row>
    <row r="30" spans="1:4">
      <c r="A30">
        <v>1</v>
      </c>
      <c r="B30" s="2" t="s">
        <v>0</v>
      </c>
      <c r="C30" s="6">
        <v>40114</v>
      </c>
      <c r="D30">
        <v>5.85</v>
      </c>
    </row>
    <row r="31" spans="1:4">
      <c r="A31">
        <v>1</v>
      </c>
      <c r="B31" s="2" t="s">
        <v>0</v>
      </c>
      <c r="C31" s="6">
        <v>40115</v>
      </c>
      <c r="D31">
        <v>5.9630000000000001</v>
      </c>
    </row>
    <row r="32" spans="1:4">
      <c r="A32">
        <v>1</v>
      </c>
      <c r="B32" s="2" t="s">
        <v>0</v>
      </c>
      <c r="C32" s="6">
        <v>40116</v>
      </c>
      <c r="D32">
        <v>6.0439999999999996</v>
      </c>
    </row>
    <row r="33" spans="1:4">
      <c r="A33">
        <v>1</v>
      </c>
      <c r="B33" s="2" t="s">
        <v>0</v>
      </c>
      <c r="C33" s="6">
        <v>40117</v>
      </c>
      <c r="D33">
        <v>5.5570000000000004</v>
      </c>
    </row>
    <row r="34" spans="1:4">
      <c r="A34">
        <v>2</v>
      </c>
      <c r="B34" s="2" t="s">
        <v>1</v>
      </c>
      <c r="C34" s="6">
        <v>40086</v>
      </c>
      <c r="D34">
        <v>7.8849999999999998</v>
      </c>
    </row>
    <row r="35" spans="1:4">
      <c r="A35">
        <v>2</v>
      </c>
      <c r="B35" s="2" t="s">
        <v>1</v>
      </c>
      <c r="C35" s="6">
        <v>40087</v>
      </c>
      <c r="D35">
        <v>4.7149999999999999</v>
      </c>
    </row>
    <row r="36" spans="1:4">
      <c r="A36">
        <v>2</v>
      </c>
      <c r="B36" s="2" t="s">
        <v>1</v>
      </c>
      <c r="C36" s="6">
        <v>40088</v>
      </c>
      <c r="D36">
        <v>5.7359999999999998</v>
      </c>
    </row>
    <row r="37" spans="1:4">
      <c r="A37">
        <v>2</v>
      </c>
      <c r="B37" s="2" t="s">
        <v>1</v>
      </c>
      <c r="C37" s="6">
        <v>40089</v>
      </c>
      <c r="D37">
        <v>5.4660000000000002</v>
      </c>
    </row>
    <row r="38" spans="1:4">
      <c r="A38">
        <v>2</v>
      </c>
      <c r="B38" s="2" t="s">
        <v>1</v>
      </c>
      <c r="C38" s="6">
        <v>40090</v>
      </c>
      <c r="D38">
        <v>5.3579999999999997</v>
      </c>
    </row>
    <row r="39" spans="1:4">
      <c r="A39">
        <v>2</v>
      </c>
      <c r="B39" s="2" t="s">
        <v>1</v>
      </c>
      <c r="C39" s="6">
        <v>40091</v>
      </c>
      <c r="D39">
        <v>5.0529999999999999</v>
      </c>
    </row>
    <row r="40" spans="1:4">
      <c r="A40">
        <v>2</v>
      </c>
      <c r="B40" s="2" t="s">
        <v>1</v>
      </c>
      <c r="C40" s="6">
        <v>40092</v>
      </c>
      <c r="D40">
        <v>3.9580000000000002</v>
      </c>
    </row>
    <row r="41" spans="1:4">
      <c r="A41">
        <v>2</v>
      </c>
      <c r="B41" s="2" t="s">
        <v>1</v>
      </c>
      <c r="C41" s="6">
        <v>40093</v>
      </c>
      <c r="D41">
        <v>2.5960000000000001</v>
      </c>
    </row>
    <row r="42" spans="1:4">
      <c r="A42">
        <v>2</v>
      </c>
      <c r="B42" s="2" t="s">
        <v>1</v>
      </c>
      <c r="C42" s="6">
        <v>40094</v>
      </c>
      <c r="D42">
        <v>0.96399999999999997</v>
      </c>
    </row>
    <row r="43" spans="1:4">
      <c r="A43">
        <v>2</v>
      </c>
      <c r="B43" s="2" t="s">
        <v>1</v>
      </c>
      <c r="C43" s="6">
        <v>40095</v>
      </c>
      <c r="D43">
        <v>1.8819999999999999</v>
      </c>
    </row>
    <row r="44" spans="1:4">
      <c r="A44">
        <v>2</v>
      </c>
      <c r="B44" s="2" t="s">
        <v>1</v>
      </c>
      <c r="C44" s="6">
        <v>40096</v>
      </c>
      <c r="D44">
        <v>1.6990000000000001</v>
      </c>
    </row>
    <row r="45" spans="1:4">
      <c r="A45">
        <v>2</v>
      </c>
      <c r="B45" s="2" t="s">
        <v>1</v>
      </c>
      <c r="C45" s="6">
        <v>40097</v>
      </c>
      <c r="D45">
        <v>4.1319999999999997</v>
      </c>
    </row>
    <row r="46" spans="1:4">
      <c r="A46">
        <v>2</v>
      </c>
      <c r="B46" s="2" t="s">
        <v>1</v>
      </c>
      <c r="C46" s="6">
        <v>40098</v>
      </c>
      <c r="D46">
        <v>2.4990000000000001</v>
      </c>
    </row>
    <row r="47" spans="1:4">
      <c r="A47">
        <v>2</v>
      </c>
      <c r="B47" s="2" t="s">
        <v>1</v>
      </c>
      <c r="C47" s="6">
        <v>40099</v>
      </c>
      <c r="D47">
        <v>4.141</v>
      </c>
    </row>
    <row r="48" spans="1:4">
      <c r="A48">
        <v>2</v>
      </c>
      <c r="B48" s="2" t="s">
        <v>1</v>
      </c>
      <c r="C48" s="6">
        <v>40100</v>
      </c>
      <c r="D48">
        <v>4.1349999999999998</v>
      </c>
    </row>
    <row r="49" spans="1:4">
      <c r="A49">
        <v>2</v>
      </c>
      <c r="B49" s="2" t="s">
        <v>1</v>
      </c>
      <c r="C49" s="6">
        <v>40101</v>
      </c>
      <c r="D49">
        <v>4.32</v>
      </c>
    </row>
    <row r="50" spans="1:4">
      <c r="A50">
        <v>2</v>
      </c>
      <c r="B50" s="2" t="s">
        <v>1</v>
      </c>
      <c r="C50" s="6">
        <v>40102</v>
      </c>
      <c r="D50">
        <v>4.2450000000000001</v>
      </c>
    </row>
    <row r="51" spans="1:4">
      <c r="A51">
        <v>2</v>
      </c>
      <c r="B51" s="2" t="s">
        <v>1</v>
      </c>
      <c r="C51" s="6">
        <v>40103</v>
      </c>
      <c r="D51">
        <v>4.8810000000000002</v>
      </c>
    </row>
    <row r="52" spans="1:4">
      <c r="A52">
        <v>2</v>
      </c>
      <c r="B52" s="2" t="s">
        <v>1</v>
      </c>
      <c r="C52" s="6">
        <v>40104</v>
      </c>
      <c r="D52">
        <v>4.633</v>
      </c>
    </row>
    <row r="53" spans="1:4">
      <c r="A53">
        <v>2</v>
      </c>
      <c r="B53" s="2" t="s">
        <v>1</v>
      </c>
      <c r="C53" s="6">
        <v>40105</v>
      </c>
      <c r="D53">
        <v>4.2210000000000001</v>
      </c>
    </row>
    <row r="54" spans="1:4">
      <c r="A54">
        <v>2</v>
      </c>
      <c r="B54" s="2" t="s">
        <v>1</v>
      </c>
      <c r="C54" s="6">
        <v>40106</v>
      </c>
      <c r="D54">
        <v>2.1579999999999999</v>
      </c>
    </row>
    <row r="55" spans="1:4">
      <c r="A55">
        <v>2</v>
      </c>
      <c r="B55" s="2" t="s">
        <v>1</v>
      </c>
      <c r="C55" s="6">
        <v>40107</v>
      </c>
      <c r="D55">
        <v>3.8540000000000001</v>
      </c>
    </row>
    <row r="56" spans="1:4">
      <c r="A56">
        <v>2</v>
      </c>
      <c r="B56" s="2" t="s">
        <v>1</v>
      </c>
      <c r="C56" s="6">
        <v>40108</v>
      </c>
      <c r="D56">
        <v>3.0910000000000002</v>
      </c>
    </row>
    <row r="57" spans="1:4">
      <c r="A57">
        <v>2</v>
      </c>
      <c r="B57" s="2" t="s">
        <v>1</v>
      </c>
      <c r="C57" s="6">
        <v>40109</v>
      </c>
      <c r="D57">
        <v>3.08</v>
      </c>
    </row>
    <row r="58" spans="1:4">
      <c r="A58">
        <v>2</v>
      </c>
      <c r="B58" s="2" t="s">
        <v>1</v>
      </c>
      <c r="C58" s="6">
        <v>40110</v>
      </c>
      <c r="D58">
        <v>3.9449999999999998</v>
      </c>
    </row>
    <row r="59" spans="1:4">
      <c r="A59">
        <v>2</v>
      </c>
      <c r="B59" s="2" t="s">
        <v>1</v>
      </c>
      <c r="C59" s="6">
        <v>40111</v>
      </c>
      <c r="D59">
        <v>4.0380000000000003</v>
      </c>
    </row>
    <row r="60" spans="1:4">
      <c r="A60">
        <v>2</v>
      </c>
      <c r="B60" s="2" t="s">
        <v>1</v>
      </c>
      <c r="C60" s="6">
        <v>40112</v>
      </c>
      <c r="D60">
        <v>3.9590000000000001</v>
      </c>
    </row>
    <row r="61" spans="1:4">
      <c r="A61">
        <v>2</v>
      </c>
      <c r="B61" s="2" t="s">
        <v>1</v>
      </c>
      <c r="C61" s="6">
        <v>40113</v>
      </c>
      <c r="D61">
        <v>1.819</v>
      </c>
    </row>
    <row r="62" spans="1:4">
      <c r="A62">
        <v>2</v>
      </c>
      <c r="B62" s="2" t="s">
        <v>1</v>
      </c>
      <c r="C62" s="6">
        <v>40114</v>
      </c>
      <c r="D62">
        <v>3.7890000000000001</v>
      </c>
    </row>
    <row r="63" spans="1:4">
      <c r="A63">
        <v>2</v>
      </c>
      <c r="B63" s="2" t="s">
        <v>1</v>
      </c>
      <c r="C63" s="6">
        <v>40115</v>
      </c>
      <c r="D63">
        <v>2.552</v>
      </c>
    </row>
    <row r="64" spans="1:4">
      <c r="A64">
        <v>2</v>
      </c>
      <c r="B64" s="2" t="s">
        <v>1</v>
      </c>
      <c r="C64" s="6">
        <v>40116</v>
      </c>
      <c r="D64">
        <v>2.137</v>
      </c>
    </row>
    <row r="65" spans="1:4">
      <c r="A65">
        <v>2</v>
      </c>
      <c r="B65" s="2" t="s">
        <v>1</v>
      </c>
      <c r="C65" s="6">
        <v>40117</v>
      </c>
      <c r="D65">
        <v>3.875</v>
      </c>
    </row>
    <row r="66" spans="1:4">
      <c r="A66">
        <v>3</v>
      </c>
      <c r="B66" s="2" t="s">
        <v>2</v>
      </c>
      <c r="C66" s="6">
        <v>40086</v>
      </c>
      <c r="D66">
        <v>4.8029999999999999</v>
      </c>
    </row>
    <row r="67" spans="1:4">
      <c r="A67">
        <v>3</v>
      </c>
      <c r="B67" s="2" t="s">
        <v>2</v>
      </c>
      <c r="C67" s="6">
        <v>40087</v>
      </c>
      <c r="D67">
        <v>4.7839999999999998</v>
      </c>
    </row>
    <row r="68" spans="1:4">
      <c r="A68">
        <v>3</v>
      </c>
      <c r="B68" s="2" t="s">
        <v>2</v>
      </c>
      <c r="C68" s="6">
        <v>40088</v>
      </c>
      <c r="D68">
        <v>4.5739999999999998</v>
      </c>
    </row>
    <row r="69" spans="1:4">
      <c r="A69">
        <v>3</v>
      </c>
      <c r="B69" s="2" t="s">
        <v>2</v>
      </c>
      <c r="C69" s="6">
        <v>40089</v>
      </c>
      <c r="D69">
        <v>4.5430000000000001</v>
      </c>
    </row>
    <row r="70" spans="1:4">
      <c r="A70">
        <v>3</v>
      </c>
      <c r="B70" s="2" t="s">
        <v>2</v>
      </c>
      <c r="C70" s="6">
        <v>40090</v>
      </c>
      <c r="D70">
        <v>4.4219999999999997</v>
      </c>
    </row>
    <row r="71" spans="1:4">
      <c r="A71">
        <v>3</v>
      </c>
      <c r="B71" s="2" t="s">
        <v>2</v>
      </c>
      <c r="C71" s="6">
        <v>40091</v>
      </c>
      <c r="D71">
        <v>4.68</v>
      </c>
    </row>
    <row r="72" spans="1:4">
      <c r="A72">
        <v>3</v>
      </c>
      <c r="B72" s="2" t="s">
        <v>2</v>
      </c>
      <c r="C72" s="6">
        <v>40092</v>
      </c>
      <c r="D72">
        <v>4.6360000000000001</v>
      </c>
    </row>
    <row r="73" spans="1:4">
      <c r="A73">
        <v>3</v>
      </c>
      <c r="B73" s="2" t="s">
        <v>2</v>
      </c>
      <c r="C73" s="6">
        <v>40093</v>
      </c>
      <c r="D73">
        <v>4.8410000000000002</v>
      </c>
    </row>
    <row r="74" spans="1:4">
      <c r="A74">
        <v>3</v>
      </c>
      <c r="B74" s="2" t="s">
        <v>2</v>
      </c>
      <c r="C74" s="6">
        <v>40094</v>
      </c>
      <c r="D74">
        <v>4.907</v>
      </c>
    </row>
    <row r="75" spans="1:4">
      <c r="A75">
        <v>3</v>
      </c>
      <c r="B75" s="2" t="s">
        <v>2</v>
      </c>
      <c r="C75" s="6">
        <v>40095</v>
      </c>
      <c r="D75">
        <v>3.8450000000000002</v>
      </c>
    </row>
    <row r="76" spans="1:4">
      <c r="A76">
        <v>3</v>
      </c>
      <c r="B76" s="2" t="s">
        <v>2</v>
      </c>
      <c r="C76" s="6">
        <v>40096</v>
      </c>
      <c r="D76">
        <v>2.8220000000000001</v>
      </c>
    </row>
    <row r="77" spans="1:4">
      <c r="A77">
        <v>3</v>
      </c>
      <c r="B77" s="2" t="s">
        <v>2</v>
      </c>
      <c r="C77" s="6">
        <v>40097</v>
      </c>
      <c r="D77">
        <v>1.833</v>
      </c>
    </row>
    <row r="78" spans="1:4">
      <c r="A78">
        <v>3</v>
      </c>
      <c r="B78" s="2" t="s">
        <v>2</v>
      </c>
      <c r="C78" s="6">
        <v>40098</v>
      </c>
      <c r="D78">
        <v>1.9419999999999999</v>
      </c>
    </row>
    <row r="79" spans="1:4">
      <c r="A79">
        <v>3</v>
      </c>
      <c r="B79" s="2" t="s">
        <v>2</v>
      </c>
      <c r="C79" s="6">
        <v>40099</v>
      </c>
      <c r="D79">
        <v>1.4339999999999999</v>
      </c>
    </row>
    <row r="80" spans="1:4">
      <c r="A80">
        <v>3</v>
      </c>
      <c r="B80" s="2" t="s">
        <v>2</v>
      </c>
      <c r="C80" s="6">
        <v>40100</v>
      </c>
      <c r="D80">
        <v>1.5429999999999999</v>
      </c>
    </row>
    <row r="81" spans="1:4">
      <c r="A81">
        <v>3</v>
      </c>
      <c r="B81" s="2" t="s">
        <v>2</v>
      </c>
      <c r="C81" s="6">
        <v>40101</v>
      </c>
      <c r="D81">
        <v>1.41</v>
      </c>
    </row>
    <row r="82" spans="1:4">
      <c r="A82">
        <v>3</v>
      </c>
      <c r="B82" s="2" t="s">
        <v>2</v>
      </c>
      <c r="C82" s="6">
        <v>40102</v>
      </c>
      <c r="D82">
        <v>1.573</v>
      </c>
    </row>
    <row r="83" spans="1:4">
      <c r="A83">
        <v>3</v>
      </c>
      <c r="B83" s="2" t="s">
        <v>2</v>
      </c>
      <c r="C83" s="6">
        <v>40103</v>
      </c>
      <c r="D83">
        <v>1.2629999999999999</v>
      </c>
    </row>
    <row r="84" spans="1:4">
      <c r="A84">
        <v>3</v>
      </c>
      <c r="B84" s="2" t="s">
        <v>2</v>
      </c>
      <c r="C84" s="6">
        <v>40104</v>
      </c>
      <c r="D84">
        <v>1.621</v>
      </c>
    </row>
    <row r="85" spans="1:4">
      <c r="A85">
        <v>3</v>
      </c>
      <c r="B85" s="2" t="s">
        <v>2</v>
      </c>
      <c r="C85" s="6">
        <v>40105</v>
      </c>
      <c r="D85">
        <v>1.4570000000000001</v>
      </c>
    </row>
    <row r="86" spans="1:4">
      <c r="A86">
        <v>3</v>
      </c>
      <c r="B86" s="2" t="s">
        <v>2</v>
      </c>
      <c r="C86" s="6">
        <v>40106</v>
      </c>
      <c r="D86">
        <v>2.1709999999999998</v>
      </c>
    </row>
    <row r="87" spans="1:4">
      <c r="A87">
        <v>3</v>
      </c>
      <c r="B87" s="2" t="s">
        <v>2</v>
      </c>
      <c r="C87" s="6">
        <v>40107</v>
      </c>
      <c r="D87">
        <v>1.7310000000000001</v>
      </c>
    </row>
    <row r="88" spans="1:4">
      <c r="A88">
        <v>3</v>
      </c>
      <c r="B88" s="2" t="s">
        <v>2</v>
      </c>
      <c r="C88" s="6">
        <v>40108</v>
      </c>
      <c r="D88">
        <v>1.282</v>
      </c>
    </row>
    <row r="89" spans="1:4">
      <c r="A89">
        <v>3</v>
      </c>
      <c r="B89" s="2" t="s">
        <v>2</v>
      </c>
      <c r="C89" s="6">
        <v>40109</v>
      </c>
      <c r="D89">
        <v>1.335</v>
      </c>
    </row>
    <row r="90" spans="1:4">
      <c r="A90">
        <v>3</v>
      </c>
      <c r="B90" s="2" t="s">
        <v>2</v>
      </c>
      <c r="C90" s="6">
        <v>40110</v>
      </c>
      <c r="D90">
        <v>0.72799999999999998</v>
      </c>
    </row>
    <row r="91" spans="1:4">
      <c r="A91">
        <v>3</v>
      </c>
      <c r="B91" s="2" t="s">
        <v>2</v>
      </c>
      <c r="C91" s="6">
        <v>40111</v>
      </c>
      <c r="D91">
        <v>1.0880000000000001</v>
      </c>
    </row>
    <row r="92" spans="1:4">
      <c r="A92">
        <v>3</v>
      </c>
      <c r="B92" s="2" t="s">
        <v>2</v>
      </c>
      <c r="C92" s="6">
        <v>40112</v>
      </c>
      <c r="D92">
        <v>2.3450000000000002</v>
      </c>
    </row>
    <row r="93" spans="1:4">
      <c r="A93">
        <v>3</v>
      </c>
      <c r="B93" s="2" t="s">
        <v>2</v>
      </c>
      <c r="C93" s="6">
        <v>40113</v>
      </c>
      <c r="D93">
        <v>1.9990000000000001</v>
      </c>
    </row>
    <row r="94" spans="1:4">
      <c r="A94">
        <v>3</v>
      </c>
      <c r="B94" s="2" t="s">
        <v>2</v>
      </c>
      <c r="C94" s="6">
        <v>40114</v>
      </c>
      <c r="D94">
        <v>0.79500000000000004</v>
      </c>
    </row>
    <row r="95" spans="1:4">
      <c r="A95">
        <v>3</v>
      </c>
      <c r="B95" s="2" t="s">
        <v>2</v>
      </c>
      <c r="C95" s="6">
        <v>40115</v>
      </c>
      <c r="D95">
        <v>0</v>
      </c>
    </row>
    <row r="96" spans="1:4">
      <c r="A96">
        <v>3</v>
      </c>
      <c r="B96" s="2" t="s">
        <v>2</v>
      </c>
      <c r="C96" s="6">
        <v>40116</v>
      </c>
      <c r="D96">
        <v>0.69199999999999995</v>
      </c>
    </row>
    <row r="97" spans="1:6">
      <c r="A97">
        <v>3</v>
      </c>
      <c r="B97" s="2" t="s">
        <v>2</v>
      </c>
      <c r="C97" s="6">
        <v>40117</v>
      </c>
      <c r="D97">
        <v>0.82099999999999995</v>
      </c>
      <c r="F97" s="1"/>
    </row>
    <row r="98" spans="1:6">
      <c r="A98">
        <v>4</v>
      </c>
      <c r="B98" s="2" t="s">
        <v>3</v>
      </c>
      <c r="C98" s="6">
        <v>40086</v>
      </c>
      <c r="D98">
        <v>0</v>
      </c>
      <c r="F98" s="1"/>
    </row>
    <row r="99" spans="1:6">
      <c r="A99">
        <v>4</v>
      </c>
      <c r="B99" s="2" t="s">
        <v>3</v>
      </c>
      <c r="C99" s="6">
        <v>40087</v>
      </c>
      <c r="D99">
        <v>0</v>
      </c>
    </row>
    <row r="100" spans="1:6">
      <c r="A100">
        <v>4</v>
      </c>
      <c r="B100" s="2" t="s">
        <v>3</v>
      </c>
      <c r="C100" s="6">
        <v>40088</v>
      </c>
      <c r="D100">
        <v>0</v>
      </c>
    </row>
    <row r="101" spans="1:6">
      <c r="A101">
        <v>4</v>
      </c>
      <c r="B101" s="2" t="s">
        <v>3</v>
      </c>
      <c r="C101" s="6">
        <v>40089</v>
      </c>
      <c r="D101">
        <v>0</v>
      </c>
    </row>
    <row r="102" spans="1:6">
      <c r="A102">
        <v>4</v>
      </c>
      <c r="B102" s="2" t="s">
        <v>3</v>
      </c>
      <c r="C102" s="6">
        <v>40090</v>
      </c>
      <c r="D102">
        <v>0</v>
      </c>
    </row>
    <row r="103" spans="1:6">
      <c r="A103">
        <v>4</v>
      </c>
      <c r="B103" s="2" t="s">
        <v>3</v>
      </c>
      <c r="C103" s="6">
        <v>40091</v>
      </c>
      <c r="D103">
        <v>1.0189999999999999</v>
      </c>
    </row>
    <row r="104" spans="1:6">
      <c r="A104">
        <v>4</v>
      </c>
      <c r="B104" s="2" t="s">
        <v>3</v>
      </c>
      <c r="C104" s="6">
        <v>40092</v>
      </c>
      <c r="D104">
        <v>1.74</v>
      </c>
    </row>
    <row r="105" spans="1:6">
      <c r="A105">
        <v>4</v>
      </c>
      <c r="B105" s="2" t="s">
        <v>3</v>
      </c>
      <c r="C105" s="6">
        <v>40093</v>
      </c>
      <c r="D105">
        <v>1.7230000000000001</v>
      </c>
    </row>
    <row r="106" spans="1:6">
      <c r="A106">
        <v>4</v>
      </c>
      <c r="B106" s="2" t="s">
        <v>3</v>
      </c>
      <c r="C106" s="6">
        <v>40094</v>
      </c>
      <c r="D106">
        <v>1.7330000000000001</v>
      </c>
    </row>
    <row r="107" spans="1:6">
      <c r="A107">
        <v>4</v>
      </c>
      <c r="B107" s="2" t="s">
        <v>3</v>
      </c>
      <c r="C107" s="6">
        <v>40095</v>
      </c>
      <c r="D107">
        <v>1.7330000000000001</v>
      </c>
    </row>
    <row r="108" spans="1:6">
      <c r="A108">
        <v>4</v>
      </c>
      <c r="B108" s="2" t="s">
        <v>3</v>
      </c>
      <c r="C108" s="6">
        <v>40096</v>
      </c>
      <c r="D108">
        <v>1.7330000000000001</v>
      </c>
    </row>
    <row r="109" spans="1:6">
      <c r="A109">
        <v>4</v>
      </c>
      <c r="B109" s="2" t="s">
        <v>3</v>
      </c>
      <c r="C109" s="6">
        <v>40097</v>
      </c>
      <c r="D109">
        <v>1.7350000000000001</v>
      </c>
    </row>
    <row r="110" spans="1:6">
      <c r="A110">
        <v>4</v>
      </c>
      <c r="B110" s="2" t="s">
        <v>3</v>
      </c>
      <c r="C110" s="6">
        <v>40098</v>
      </c>
      <c r="D110">
        <v>1.58</v>
      </c>
    </row>
    <row r="111" spans="1:6">
      <c r="A111">
        <v>4</v>
      </c>
      <c r="B111" s="2" t="s">
        <v>3</v>
      </c>
      <c r="C111" s="6">
        <v>40099</v>
      </c>
      <c r="D111">
        <v>1.2010000000000001</v>
      </c>
    </row>
    <row r="112" spans="1:6">
      <c r="A112">
        <v>4</v>
      </c>
      <c r="B112" s="2" t="s">
        <v>3</v>
      </c>
      <c r="C112" s="6">
        <v>40100</v>
      </c>
      <c r="D112">
        <v>1.0680000000000001</v>
      </c>
    </row>
    <row r="113" spans="1:6">
      <c r="A113">
        <v>4</v>
      </c>
      <c r="B113" s="2" t="s">
        <v>3</v>
      </c>
      <c r="C113" s="6">
        <v>40101</v>
      </c>
      <c r="D113">
        <v>1.034</v>
      </c>
    </row>
    <row r="114" spans="1:6">
      <c r="A114">
        <v>4</v>
      </c>
      <c r="B114" s="2" t="s">
        <v>3</v>
      </c>
      <c r="C114" s="6">
        <v>40102</v>
      </c>
      <c r="D114">
        <v>1.024</v>
      </c>
    </row>
    <row r="115" spans="1:6">
      <c r="A115">
        <v>4</v>
      </c>
      <c r="B115" s="2" t="s">
        <v>3</v>
      </c>
      <c r="C115" s="6">
        <v>40103</v>
      </c>
      <c r="D115">
        <v>0.94499999999999995</v>
      </c>
    </row>
    <row r="116" spans="1:6">
      <c r="A116">
        <v>4</v>
      </c>
      <c r="B116" s="2" t="s">
        <v>3</v>
      </c>
      <c r="C116" s="6">
        <v>40104</v>
      </c>
      <c r="D116">
        <v>0.96</v>
      </c>
    </row>
    <row r="117" spans="1:6">
      <c r="A117">
        <v>4</v>
      </c>
      <c r="B117" s="2" t="s">
        <v>3</v>
      </c>
      <c r="C117" s="6">
        <v>40105</v>
      </c>
      <c r="D117">
        <v>0.94799999999999995</v>
      </c>
    </row>
    <row r="118" spans="1:6">
      <c r="A118">
        <v>4</v>
      </c>
      <c r="B118" s="2" t="s">
        <v>3</v>
      </c>
      <c r="C118" s="6">
        <v>40106</v>
      </c>
      <c r="D118">
        <v>0.90600000000000003</v>
      </c>
      <c r="F118" s="1"/>
    </row>
    <row r="119" spans="1:6">
      <c r="A119">
        <v>4</v>
      </c>
      <c r="B119" s="2" t="s">
        <v>3</v>
      </c>
      <c r="C119" s="6">
        <v>40107</v>
      </c>
      <c r="D119">
        <v>0.91600000000000004</v>
      </c>
      <c r="F119" s="1"/>
    </row>
    <row r="120" spans="1:6">
      <c r="A120">
        <v>4</v>
      </c>
      <c r="B120" s="2" t="s">
        <v>3</v>
      </c>
      <c r="C120" s="6">
        <v>40108</v>
      </c>
      <c r="D120">
        <v>0.44600000000000001</v>
      </c>
    </row>
    <row r="121" spans="1:6">
      <c r="A121">
        <v>4</v>
      </c>
      <c r="B121" s="2" t="s">
        <v>3</v>
      </c>
      <c r="C121" s="6">
        <v>40109</v>
      </c>
      <c r="D121">
        <v>0.51200000000000001</v>
      </c>
    </row>
    <row r="122" spans="1:6">
      <c r="A122">
        <v>4</v>
      </c>
      <c r="B122" s="2" t="s">
        <v>3</v>
      </c>
      <c r="C122" s="6">
        <v>40110</v>
      </c>
      <c r="D122">
        <v>0.94799999999999995</v>
      </c>
    </row>
    <row r="123" spans="1:6">
      <c r="A123">
        <v>4</v>
      </c>
      <c r="B123" s="2" t="s">
        <v>3</v>
      </c>
      <c r="C123" s="6">
        <v>40111</v>
      </c>
      <c r="D123">
        <v>0.93500000000000005</v>
      </c>
    </row>
    <row r="124" spans="1:6">
      <c r="A124">
        <v>4</v>
      </c>
      <c r="B124" s="2" t="s">
        <v>3</v>
      </c>
      <c r="C124" s="6">
        <v>40112</v>
      </c>
      <c r="D124">
        <v>0.433</v>
      </c>
    </row>
    <row r="125" spans="1:6">
      <c r="A125">
        <v>4</v>
      </c>
      <c r="B125" s="2" t="s">
        <v>3</v>
      </c>
      <c r="C125" s="6">
        <v>40113</v>
      </c>
      <c r="D125">
        <v>0</v>
      </c>
    </row>
    <row r="126" spans="1:6">
      <c r="A126">
        <v>4</v>
      </c>
      <c r="B126" s="2" t="s">
        <v>3</v>
      </c>
      <c r="C126" s="6">
        <v>40114</v>
      </c>
      <c r="D126">
        <v>0.54400000000000004</v>
      </c>
    </row>
    <row r="127" spans="1:6">
      <c r="A127">
        <v>4</v>
      </c>
      <c r="B127" s="2" t="s">
        <v>3</v>
      </c>
      <c r="C127" s="6">
        <v>40115</v>
      </c>
      <c r="D127">
        <v>0</v>
      </c>
    </row>
    <row r="128" spans="1:6">
      <c r="A128">
        <v>4</v>
      </c>
      <c r="B128" s="2" t="s">
        <v>3</v>
      </c>
      <c r="C128" s="6">
        <v>40116</v>
      </c>
      <c r="D128">
        <v>0</v>
      </c>
    </row>
    <row r="129" spans="1:4">
      <c r="A129">
        <v>4</v>
      </c>
      <c r="B129" s="2" t="s">
        <v>3</v>
      </c>
      <c r="C129" s="6">
        <v>40117</v>
      </c>
      <c r="D129">
        <v>0</v>
      </c>
    </row>
    <row r="130" spans="1:4">
      <c r="A130">
        <v>5</v>
      </c>
      <c r="B130" s="2" t="s">
        <v>183</v>
      </c>
      <c r="C130" s="6">
        <v>40086</v>
      </c>
      <c r="D130">
        <v>0</v>
      </c>
    </row>
    <row r="131" spans="1:4">
      <c r="A131">
        <v>5</v>
      </c>
      <c r="B131" s="2" t="s">
        <v>183</v>
      </c>
      <c r="C131" s="6">
        <v>40087</v>
      </c>
      <c r="D131">
        <v>0</v>
      </c>
    </row>
    <row r="132" spans="1:4">
      <c r="A132">
        <v>5</v>
      </c>
      <c r="B132" s="2" t="s">
        <v>183</v>
      </c>
      <c r="C132" s="6">
        <v>40088</v>
      </c>
      <c r="D132">
        <v>0</v>
      </c>
    </row>
    <row r="133" spans="1:4">
      <c r="A133">
        <v>5</v>
      </c>
      <c r="B133" s="2" t="s">
        <v>183</v>
      </c>
      <c r="C133" s="6">
        <v>40089</v>
      </c>
      <c r="D133">
        <v>0</v>
      </c>
    </row>
    <row r="134" spans="1:4">
      <c r="A134">
        <v>5</v>
      </c>
      <c r="B134" s="2" t="s">
        <v>183</v>
      </c>
      <c r="C134" s="6">
        <v>40090</v>
      </c>
      <c r="D134">
        <v>0</v>
      </c>
    </row>
    <row r="135" spans="1:4">
      <c r="A135">
        <v>5</v>
      </c>
      <c r="B135" s="2" t="s">
        <v>183</v>
      </c>
      <c r="C135" s="6">
        <v>40091</v>
      </c>
      <c r="D135">
        <v>0</v>
      </c>
    </row>
    <row r="136" spans="1:4">
      <c r="A136">
        <v>5</v>
      </c>
      <c r="B136" s="2" t="s">
        <v>183</v>
      </c>
      <c r="C136" s="6">
        <v>40092</v>
      </c>
      <c r="D136">
        <v>0</v>
      </c>
    </row>
    <row r="137" spans="1:4">
      <c r="A137">
        <v>5</v>
      </c>
      <c r="B137" s="2" t="s">
        <v>183</v>
      </c>
      <c r="C137" s="6">
        <v>40093</v>
      </c>
      <c r="D137">
        <v>0</v>
      </c>
    </row>
    <row r="138" spans="1:4">
      <c r="A138">
        <v>5</v>
      </c>
      <c r="B138" s="2" t="s">
        <v>183</v>
      </c>
      <c r="C138" s="6">
        <v>40094</v>
      </c>
      <c r="D138">
        <v>0</v>
      </c>
    </row>
    <row r="139" spans="1:4">
      <c r="A139">
        <v>5</v>
      </c>
      <c r="B139" s="2" t="s">
        <v>183</v>
      </c>
      <c r="C139" s="6">
        <v>40095</v>
      </c>
      <c r="D139">
        <v>0</v>
      </c>
    </row>
    <row r="140" spans="1:4">
      <c r="A140">
        <v>5</v>
      </c>
      <c r="B140" s="2" t="s">
        <v>183</v>
      </c>
      <c r="C140" s="6">
        <v>40096</v>
      </c>
      <c r="D140">
        <v>0</v>
      </c>
    </row>
    <row r="141" spans="1:4">
      <c r="A141">
        <v>5</v>
      </c>
      <c r="B141" s="2" t="s">
        <v>183</v>
      </c>
      <c r="C141" s="6">
        <v>40097</v>
      </c>
      <c r="D141">
        <v>0</v>
      </c>
    </row>
    <row r="142" spans="1:4">
      <c r="A142">
        <v>5</v>
      </c>
      <c r="B142" s="2" t="s">
        <v>183</v>
      </c>
      <c r="C142" s="6">
        <v>40098</v>
      </c>
      <c r="D142">
        <v>0</v>
      </c>
    </row>
    <row r="143" spans="1:4">
      <c r="A143">
        <v>5</v>
      </c>
      <c r="B143" s="2" t="s">
        <v>183</v>
      </c>
      <c r="C143" s="6">
        <v>40099</v>
      </c>
      <c r="D143">
        <v>0</v>
      </c>
    </row>
    <row r="144" spans="1:4">
      <c r="A144">
        <v>5</v>
      </c>
      <c r="B144" s="2" t="s">
        <v>183</v>
      </c>
      <c r="C144" s="6">
        <v>40100</v>
      </c>
      <c r="D144">
        <v>0</v>
      </c>
    </row>
    <row r="145" spans="1:4">
      <c r="A145">
        <v>5</v>
      </c>
      <c r="B145" s="2" t="s">
        <v>183</v>
      </c>
      <c r="C145" s="6">
        <v>40101</v>
      </c>
      <c r="D145">
        <v>0</v>
      </c>
    </row>
    <row r="146" spans="1:4">
      <c r="A146">
        <v>5</v>
      </c>
      <c r="B146" s="2" t="s">
        <v>183</v>
      </c>
      <c r="C146" s="6">
        <v>40102</v>
      </c>
      <c r="D146">
        <v>0</v>
      </c>
    </row>
    <row r="147" spans="1:4">
      <c r="A147">
        <v>5</v>
      </c>
      <c r="B147" s="2" t="s">
        <v>183</v>
      </c>
      <c r="C147" s="6">
        <v>40103</v>
      </c>
      <c r="D147">
        <v>0</v>
      </c>
    </row>
    <row r="148" spans="1:4">
      <c r="A148">
        <v>5</v>
      </c>
      <c r="B148" s="2" t="s">
        <v>183</v>
      </c>
      <c r="C148" s="6">
        <v>40104</v>
      </c>
      <c r="D148">
        <v>0</v>
      </c>
    </row>
    <row r="149" spans="1:4">
      <c r="A149">
        <v>5</v>
      </c>
      <c r="B149" s="2" t="s">
        <v>183</v>
      </c>
      <c r="C149" s="6">
        <v>40105</v>
      </c>
      <c r="D149">
        <v>0</v>
      </c>
    </row>
    <row r="150" spans="1:4">
      <c r="A150">
        <v>5</v>
      </c>
      <c r="B150" s="2" t="s">
        <v>183</v>
      </c>
      <c r="C150" s="6">
        <v>40106</v>
      </c>
      <c r="D150">
        <v>0</v>
      </c>
    </row>
    <row r="151" spans="1:4">
      <c r="A151">
        <v>5</v>
      </c>
      <c r="B151" s="2" t="s">
        <v>183</v>
      </c>
      <c r="C151" s="6">
        <v>40107</v>
      </c>
      <c r="D151">
        <v>0</v>
      </c>
    </row>
    <row r="152" spans="1:4">
      <c r="A152">
        <v>5</v>
      </c>
      <c r="B152" s="2" t="s">
        <v>183</v>
      </c>
      <c r="C152" s="6">
        <v>40108</v>
      </c>
      <c r="D152">
        <v>0</v>
      </c>
    </row>
    <row r="153" spans="1:4">
      <c r="A153">
        <v>5</v>
      </c>
      <c r="B153" s="2" t="s">
        <v>183</v>
      </c>
      <c r="C153" s="6">
        <v>40109</v>
      </c>
      <c r="D153">
        <v>0</v>
      </c>
    </row>
    <row r="154" spans="1:4">
      <c r="A154">
        <v>5</v>
      </c>
      <c r="B154" s="2" t="s">
        <v>183</v>
      </c>
      <c r="C154" s="6">
        <v>40110</v>
      </c>
      <c r="D154">
        <v>0</v>
      </c>
    </row>
    <row r="155" spans="1:4">
      <c r="A155">
        <v>5</v>
      </c>
      <c r="B155" s="2" t="s">
        <v>183</v>
      </c>
      <c r="C155" s="6">
        <v>40111</v>
      </c>
      <c r="D155">
        <v>0</v>
      </c>
    </row>
    <row r="156" spans="1:4">
      <c r="A156">
        <v>5</v>
      </c>
      <c r="B156" s="2" t="s">
        <v>183</v>
      </c>
      <c r="C156" s="6">
        <v>40112</v>
      </c>
      <c r="D156">
        <v>0</v>
      </c>
    </row>
    <row r="157" spans="1:4">
      <c r="A157">
        <v>5</v>
      </c>
      <c r="B157" s="2" t="s">
        <v>183</v>
      </c>
      <c r="C157" s="6">
        <v>40113</v>
      </c>
      <c r="D157">
        <v>0</v>
      </c>
    </row>
    <row r="158" spans="1:4">
      <c r="A158">
        <v>5</v>
      </c>
      <c r="B158" s="2" t="s">
        <v>183</v>
      </c>
      <c r="C158" s="6">
        <v>40114</v>
      </c>
      <c r="D158">
        <v>0</v>
      </c>
    </row>
    <row r="159" spans="1:4">
      <c r="A159">
        <v>5</v>
      </c>
      <c r="B159" s="2" t="s">
        <v>183</v>
      </c>
      <c r="C159" s="6">
        <v>40115</v>
      </c>
      <c r="D159">
        <v>0</v>
      </c>
    </row>
    <row r="160" spans="1:4">
      <c r="A160">
        <v>5</v>
      </c>
      <c r="B160" s="2" t="s">
        <v>183</v>
      </c>
      <c r="C160" s="6">
        <v>40116</v>
      </c>
      <c r="D160">
        <v>0</v>
      </c>
    </row>
    <row r="161" spans="1:4">
      <c r="A161">
        <v>5</v>
      </c>
      <c r="B161" s="2" t="s">
        <v>183</v>
      </c>
      <c r="C161" s="6">
        <v>40117</v>
      </c>
      <c r="D161">
        <v>0</v>
      </c>
    </row>
    <row r="162" spans="1:4">
      <c r="A162">
        <v>6</v>
      </c>
      <c r="B162" s="2" t="s">
        <v>184</v>
      </c>
      <c r="C162" s="6">
        <v>40086</v>
      </c>
      <c r="D162">
        <v>0</v>
      </c>
    </row>
    <row r="163" spans="1:4">
      <c r="A163">
        <v>6</v>
      </c>
      <c r="B163" s="2" t="s">
        <v>184</v>
      </c>
      <c r="C163" s="6">
        <v>40087</v>
      </c>
      <c r="D163">
        <v>0</v>
      </c>
    </row>
    <row r="164" spans="1:4">
      <c r="A164">
        <v>6</v>
      </c>
      <c r="B164" s="2" t="s">
        <v>184</v>
      </c>
      <c r="C164" s="6">
        <v>40088</v>
      </c>
      <c r="D164">
        <v>0</v>
      </c>
    </row>
    <row r="165" spans="1:4">
      <c r="A165">
        <v>6</v>
      </c>
      <c r="B165" s="2" t="s">
        <v>184</v>
      </c>
      <c r="C165" s="6">
        <v>40089</v>
      </c>
      <c r="D165">
        <v>0</v>
      </c>
    </row>
    <row r="166" spans="1:4">
      <c r="A166">
        <v>6</v>
      </c>
      <c r="B166" s="2" t="s">
        <v>184</v>
      </c>
      <c r="C166" s="6">
        <v>40090</v>
      </c>
      <c r="D166">
        <v>0</v>
      </c>
    </row>
    <row r="167" spans="1:4">
      <c r="A167">
        <v>6</v>
      </c>
      <c r="B167" s="2" t="s">
        <v>184</v>
      </c>
      <c r="C167" s="6">
        <v>40091</v>
      </c>
      <c r="D167">
        <v>0</v>
      </c>
    </row>
    <row r="168" spans="1:4">
      <c r="A168">
        <v>6</v>
      </c>
      <c r="B168" s="2" t="s">
        <v>184</v>
      </c>
      <c r="C168" s="6">
        <v>40092</v>
      </c>
      <c r="D168">
        <v>0</v>
      </c>
    </row>
    <row r="169" spans="1:4">
      <c r="A169">
        <v>6</v>
      </c>
      <c r="B169" s="2" t="s">
        <v>184</v>
      </c>
      <c r="C169" s="6">
        <v>40093</v>
      </c>
      <c r="D169">
        <v>0</v>
      </c>
    </row>
    <row r="170" spans="1:4">
      <c r="A170">
        <v>6</v>
      </c>
      <c r="B170" s="2" t="s">
        <v>184</v>
      </c>
      <c r="C170" s="6">
        <v>40094</v>
      </c>
      <c r="D170">
        <v>0</v>
      </c>
    </row>
    <row r="171" spans="1:4">
      <c r="A171">
        <v>6</v>
      </c>
      <c r="B171" s="2" t="s">
        <v>184</v>
      </c>
      <c r="C171" s="6">
        <v>40095</v>
      </c>
      <c r="D171">
        <v>0</v>
      </c>
    </row>
    <row r="172" spans="1:4">
      <c r="A172">
        <v>6</v>
      </c>
      <c r="B172" s="2" t="s">
        <v>184</v>
      </c>
      <c r="C172" s="6">
        <v>40096</v>
      </c>
      <c r="D172">
        <v>0</v>
      </c>
    </row>
    <row r="173" spans="1:4">
      <c r="A173">
        <v>6</v>
      </c>
      <c r="B173" s="2" t="s">
        <v>184</v>
      </c>
      <c r="C173" s="6">
        <v>40097</v>
      </c>
      <c r="D173">
        <v>0</v>
      </c>
    </row>
    <row r="174" spans="1:4">
      <c r="A174">
        <v>6</v>
      </c>
      <c r="B174" s="2" t="s">
        <v>184</v>
      </c>
      <c r="C174" s="6">
        <v>40098</v>
      </c>
      <c r="D174">
        <v>0</v>
      </c>
    </row>
    <row r="175" spans="1:4">
      <c r="A175">
        <v>6</v>
      </c>
      <c r="B175" s="2" t="s">
        <v>184</v>
      </c>
      <c r="C175" s="6">
        <v>40099</v>
      </c>
      <c r="D175">
        <v>0</v>
      </c>
    </row>
    <row r="176" spans="1:4">
      <c r="A176">
        <v>6</v>
      </c>
      <c r="B176" s="2" t="s">
        <v>184</v>
      </c>
      <c r="C176" s="6">
        <v>40100</v>
      </c>
      <c r="D176">
        <v>0</v>
      </c>
    </row>
    <row r="177" spans="1:4">
      <c r="A177">
        <v>6</v>
      </c>
      <c r="B177" s="2" t="s">
        <v>184</v>
      </c>
      <c r="C177" s="6">
        <v>40101</v>
      </c>
      <c r="D177">
        <v>0</v>
      </c>
    </row>
    <row r="178" spans="1:4">
      <c r="A178">
        <v>6</v>
      </c>
      <c r="B178" s="2" t="s">
        <v>184</v>
      </c>
      <c r="C178" s="6">
        <v>40102</v>
      </c>
      <c r="D178">
        <v>0</v>
      </c>
    </row>
    <row r="179" spans="1:4">
      <c r="A179">
        <v>6</v>
      </c>
      <c r="B179" s="2" t="s">
        <v>184</v>
      </c>
      <c r="C179" s="6">
        <v>40103</v>
      </c>
      <c r="D179">
        <v>0</v>
      </c>
    </row>
    <row r="180" spans="1:4">
      <c r="A180">
        <v>6</v>
      </c>
      <c r="B180" s="2" t="s">
        <v>184</v>
      </c>
      <c r="C180" s="6">
        <v>40104</v>
      </c>
      <c r="D180">
        <v>0</v>
      </c>
    </row>
    <row r="181" spans="1:4">
      <c r="A181">
        <v>6</v>
      </c>
      <c r="B181" s="2" t="s">
        <v>184</v>
      </c>
      <c r="C181" s="6">
        <v>40105</v>
      </c>
      <c r="D181">
        <v>0</v>
      </c>
    </row>
    <row r="182" spans="1:4">
      <c r="A182">
        <v>6</v>
      </c>
      <c r="B182" s="2" t="s">
        <v>184</v>
      </c>
      <c r="C182" s="6">
        <v>40106</v>
      </c>
      <c r="D182">
        <v>0</v>
      </c>
    </row>
    <row r="183" spans="1:4">
      <c r="A183">
        <v>6</v>
      </c>
      <c r="B183" s="2" t="s">
        <v>184</v>
      </c>
      <c r="C183" s="6">
        <v>40107</v>
      </c>
      <c r="D183">
        <v>0</v>
      </c>
    </row>
    <row r="184" spans="1:4">
      <c r="A184">
        <v>6</v>
      </c>
      <c r="B184" s="2" t="s">
        <v>184</v>
      </c>
      <c r="C184" s="6">
        <v>40108</v>
      </c>
      <c r="D184">
        <v>0</v>
      </c>
    </row>
    <row r="185" spans="1:4">
      <c r="A185">
        <v>6</v>
      </c>
      <c r="B185" s="2" t="s">
        <v>184</v>
      </c>
      <c r="C185" s="6">
        <v>40109</v>
      </c>
      <c r="D185">
        <v>0</v>
      </c>
    </row>
    <row r="186" spans="1:4">
      <c r="A186">
        <v>6</v>
      </c>
      <c r="B186" s="2" t="s">
        <v>184</v>
      </c>
      <c r="C186" s="6">
        <v>40110</v>
      </c>
      <c r="D186">
        <v>0</v>
      </c>
    </row>
    <row r="187" spans="1:4">
      <c r="A187">
        <v>6</v>
      </c>
      <c r="B187" s="2" t="s">
        <v>184</v>
      </c>
      <c r="C187" s="6">
        <v>40111</v>
      </c>
      <c r="D187">
        <v>0</v>
      </c>
    </row>
    <row r="188" spans="1:4">
      <c r="A188">
        <v>6</v>
      </c>
      <c r="B188" s="2" t="s">
        <v>184</v>
      </c>
      <c r="C188" s="6">
        <v>40112</v>
      </c>
      <c r="D188">
        <v>0</v>
      </c>
    </row>
    <row r="189" spans="1:4">
      <c r="A189">
        <v>6</v>
      </c>
      <c r="B189" s="2" t="s">
        <v>184</v>
      </c>
      <c r="C189" s="6">
        <v>40113</v>
      </c>
      <c r="D189">
        <v>0</v>
      </c>
    </row>
    <row r="190" spans="1:4">
      <c r="A190">
        <v>6</v>
      </c>
      <c r="B190" s="2" t="s">
        <v>184</v>
      </c>
      <c r="C190" s="6">
        <v>40114</v>
      </c>
      <c r="D190">
        <v>0</v>
      </c>
    </row>
    <row r="191" spans="1:4">
      <c r="A191">
        <v>6</v>
      </c>
      <c r="B191" s="2" t="s">
        <v>184</v>
      </c>
      <c r="C191" s="6">
        <v>40115</v>
      </c>
      <c r="D191">
        <v>0</v>
      </c>
    </row>
    <row r="192" spans="1:4">
      <c r="A192">
        <v>6</v>
      </c>
      <c r="B192" s="2" t="s">
        <v>184</v>
      </c>
      <c r="C192" s="6">
        <v>40116</v>
      </c>
      <c r="D192">
        <v>0</v>
      </c>
    </row>
    <row r="193" spans="1:4">
      <c r="A193">
        <v>6</v>
      </c>
      <c r="B193" s="2" t="s">
        <v>184</v>
      </c>
      <c r="C193" s="6">
        <v>40117</v>
      </c>
      <c r="D193">
        <v>0</v>
      </c>
    </row>
    <row r="194" spans="1:4">
      <c r="A194">
        <v>7</v>
      </c>
      <c r="B194" s="2" t="s">
        <v>4</v>
      </c>
      <c r="C194" s="6">
        <v>40086</v>
      </c>
      <c r="D194">
        <v>0</v>
      </c>
    </row>
    <row r="195" spans="1:4">
      <c r="A195">
        <v>7</v>
      </c>
      <c r="B195" s="2" t="s">
        <v>4</v>
      </c>
      <c r="C195" s="6">
        <v>40087</v>
      </c>
      <c r="D195">
        <v>0</v>
      </c>
    </row>
    <row r="196" spans="1:4">
      <c r="A196">
        <v>7</v>
      </c>
      <c r="B196" s="2" t="s">
        <v>4</v>
      </c>
      <c r="C196" s="6">
        <v>40088</v>
      </c>
      <c r="D196">
        <v>0</v>
      </c>
    </row>
    <row r="197" spans="1:4">
      <c r="A197">
        <v>7</v>
      </c>
      <c r="B197" s="2" t="s">
        <v>4</v>
      </c>
      <c r="C197" s="6">
        <v>40089</v>
      </c>
      <c r="D197">
        <v>0</v>
      </c>
    </row>
    <row r="198" spans="1:4">
      <c r="A198">
        <v>7</v>
      </c>
      <c r="B198" s="2" t="s">
        <v>4</v>
      </c>
      <c r="C198" s="6">
        <v>40090</v>
      </c>
      <c r="D198">
        <v>0</v>
      </c>
    </row>
    <row r="199" spans="1:4">
      <c r="A199">
        <v>7</v>
      </c>
      <c r="B199" s="2" t="s">
        <v>4</v>
      </c>
      <c r="C199" s="6">
        <v>40091</v>
      </c>
      <c r="D199">
        <v>3.13</v>
      </c>
    </row>
    <row r="200" spans="1:4">
      <c r="A200">
        <v>7</v>
      </c>
      <c r="B200" s="2" t="s">
        <v>4</v>
      </c>
      <c r="C200" s="6">
        <v>40092</v>
      </c>
      <c r="D200">
        <v>5.34</v>
      </c>
    </row>
    <row r="201" spans="1:4">
      <c r="A201">
        <v>7</v>
      </c>
      <c r="B201" s="2" t="s">
        <v>4</v>
      </c>
      <c r="C201" s="6">
        <v>40093</v>
      </c>
      <c r="D201">
        <v>5.29</v>
      </c>
    </row>
    <row r="202" spans="1:4">
      <c r="A202">
        <v>7</v>
      </c>
      <c r="B202" s="2" t="s">
        <v>4</v>
      </c>
      <c r="C202" s="6">
        <v>40094</v>
      </c>
      <c r="D202">
        <v>5.32</v>
      </c>
    </row>
    <row r="203" spans="1:4">
      <c r="A203">
        <v>7</v>
      </c>
      <c r="B203" s="2" t="s">
        <v>4</v>
      </c>
      <c r="C203" s="6">
        <v>40095</v>
      </c>
      <c r="D203">
        <v>5.32</v>
      </c>
    </row>
    <row r="204" spans="1:4">
      <c r="A204">
        <v>7</v>
      </c>
      <c r="B204" s="2" t="s">
        <v>4</v>
      </c>
      <c r="C204" s="6">
        <v>40096</v>
      </c>
      <c r="D204">
        <v>5.32</v>
      </c>
    </row>
    <row r="205" spans="1:4">
      <c r="A205">
        <v>7</v>
      </c>
      <c r="B205" s="2" t="s">
        <v>4</v>
      </c>
      <c r="C205" s="6">
        <v>40097</v>
      </c>
      <c r="D205">
        <v>5.0199999999999996</v>
      </c>
    </row>
    <row r="206" spans="1:4">
      <c r="A206">
        <v>7</v>
      </c>
      <c r="B206" s="2" t="s">
        <v>4</v>
      </c>
      <c r="C206" s="6">
        <v>40098</v>
      </c>
      <c r="D206">
        <v>3.26</v>
      </c>
    </row>
    <row r="207" spans="1:4">
      <c r="A207">
        <v>7</v>
      </c>
      <c r="B207" s="2" t="s">
        <v>4</v>
      </c>
      <c r="C207" s="6">
        <v>40099</v>
      </c>
      <c r="D207">
        <v>3.46</v>
      </c>
    </row>
    <row r="208" spans="1:4">
      <c r="A208">
        <v>7</v>
      </c>
      <c r="B208" s="2" t="s">
        <v>4</v>
      </c>
      <c r="C208" s="6">
        <v>40100</v>
      </c>
      <c r="D208">
        <v>2.5499999999999998</v>
      </c>
    </row>
    <row r="209" spans="1:4">
      <c r="A209">
        <v>7</v>
      </c>
      <c r="B209" s="2" t="s">
        <v>4</v>
      </c>
      <c r="C209" s="6">
        <v>40101</v>
      </c>
      <c r="D209">
        <v>2.75</v>
      </c>
    </row>
    <row r="210" spans="1:4">
      <c r="A210">
        <v>7</v>
      </c>
      <c r="B210" s="2" t="s">
        <v>4</v>
      </c>
      <c r="C210" s="6">
        <v>40102</v>
      </c>
      <c r="D210">
        <v>2.5099999999999998</v>
      </c>
    </row>
    <row r="211" spans="1:4">
      <c r="A211">
        <v>7</v>
      </c>
      <c r="B211" s="2" t="s">
        <v>4</v>
      </c>
      <c r="C211" s="6">
        <v>40103</v>
      </c>
      <c r="D211">
        <v>2.8</v>
      </c>
    </row>
    <row r="212" spans="1:4">
      <c r="A212">
        <v>7</v>
      </c>
      <c r="B212" s="2" t="s">
        <v>4</v>
      </c>
      <c r="C212" s="6">
        <v>40104</v>
      </c>
      <c r="D212">
        <v>2.25</v>
      </c>
    </row>
    <row r="213" spans="1:4">
      <c r="A213">
        <v>7</v>
      </c>
      <c r="B213" s="2" t="s">
        <v>4</v>
      </c>
      <c r="C213" s="6">
        <v>40105</v>
      </c>
      <c r="D213">
        <v>2.89</v>
      </c>
    </row>
    <row r="214" spans="1:4">
      <c r="A214">
        <v>7</v>
      </c>
      <c r="B214" s="2" t="s">
        <v>4</v>
      </c>
      <c r="C214" s="6">
        <v>40106</v>
      </c>
      <c r="D214">
        <v>2.59</v>
      </c>
    </row>
    <row r="215" spans="1:4">
      <c r="A215">
        <v>7</v>
      </c>
      <c r="B215" s="2" t="s">
        <v>4</v>
      </c>
      <c r="C215" s="6">
        <v>40107</v>
      </c>
      <c r="D215">
        <v>2.81</v>
      </c>
    </row>
    <row r="216" spans="1:4">
      <c r="A216">
        <v>7</v>
      </c>
      <c r="B216" s="2" t="s">
        <v>4</v>
      </c>
      <c r="C216" s="6">
        <v>40108</v>
      </c>
      <c r="D216">
        <v>1.37</v>
      </c>
    </row>
    <row r="217" spans="1:4">
      <c r="A217">
        <v>7</v>
      </c>
      <c r="B217" s="2" t="s">
        <v>4</v>
      </c>
      <c r="C217" s="6">
        <v>40109</v>
      </c>
      <c r="D217">
        <v>1.57</v>
      </c>
    </row>
    <row r="218" spans="1:4">
      <c r="A218">
        <v>7</v>
      </c>
      <c r="B218" s="2" t="s">
        <v>4</v>
      </c>
      <c r="C218" s="6">
        <v>40110</v>
      </c>
      <c r="D218">
        <v>2.38</v>
      </c>
    </row>
    <row r="219" spans="1:4">
      <c r="A219">
        <v>7</v>
      </c>
      <c r="B219" s="2" t="s">
        <v>4</v>
      </c>
      <c r="C219" s="6">
        <v>40111</v>
      </c>
      <c r="D219">
        <v>1.3</v>
      </c>
    </row>
    <row r="220" spans="1:4">
      <c r="A220">
        <v>7</v>
      </c>
      <c r="B220" s="2" t="s">
        <v>4</v>
      </c>
      <c r="C220" s="6">
        <v>40112</v>
      </c>
      <c r="D220">
        <v>1.33</v>
      </c>
    </row>
    <row r="221" spans="1:4">
      <c r="A221">
        <v>7</v>
      </c>
      <c r="B221" s="2" t="s">
        <v>4</v>
      </c>
      <c r="C221" s="6">
        <v>40113</v>
      </c>
      <c r="D221">
        <v>0</v>
      </c>
    </row>
    <row r="222" spans="1:4">
      <c r="A222">
        <v>7</v>
      </c>
      <c r="B222" s="2" t="s">
        <v>4</v>
      </c>
      <c r="C222" s="6">
        <v>40114</v>
      </c>
      <c r="D222">
        <v>1.67</v>
      </c>
    </row>
    <row r="223" spans="1:4">
      <c r="A223">
        <v>7</v>
      </c>
      <c r="B223" s="2" t="s">
        <v>4</v>
      </c>
      <c r="C223" s="6">
        <v>40115</v>
      </c>
      <c r="D223">
        <v>0</v>
      </c>
    </row>
    <row r="224" spans="1:4">
      <c r="A224">
        <v>7</v>
      </c>
      <c r="B224" s="2" t="s">
        <v>4</v>
      </c>
      <c r="C224" s="6">
        <v>40116</v>
      </c>
      <c r="D224">
        <v>0</v>
      </c>
    </row>
    <row r="225" spans="1:4">
      <c r="A225">
        <v>7</v>
      </c>
      <c r="B225" s="2" t="s">
        <v>4</v>
      </c>
      <c r="C225" s="6">
        <v>40117</v>
      </c>
      <c r="D225">
        <v>0</v>
      </c>
    </row>
    <row r="226" spans="1:4">
      <c r="A226">
        <v>8</v>
      </c>
      <c r="B226" s="2" t="s">
        <v>5</v>
      </c>
      <c r="C226" s="6">
        <v>40086</v>
      </c>
      <c r="D226">
        <v>0</v>
      </c>
    </row>
    <row r="227" spans="1:4">
      <c r="A227">
        <v>8</v>
      </c>
      <c r="B227" s="2" t="s">
        <v>5</v>
      </c>
      <c r="C227" s="6">
        <v>40087</v>
      </c>
      <c r="D227">
        <v>0</v>
      </c>
    </row>
    <row r="228" spans="1:4">
      <c r="A228">
        <v>8</v>
      </c>
      <c r="B228" s="2" t="s">
        <v>5</v>
      </c>
      <c r="C228" s="6">
        <v>40088</v>
      </c>
      <c r="D228">
        <v>0</v>
      </c>
    </row>
    <row r="229" spans="1:4">
      <c r="A229">
        <v>8</v>
      </c>
      <c r="B229" s="2" t="s">
        <v>5</v>
      </c>
      <c r="C229" s="6">
        <v>40089</v>
      </c>
      <c r="D229">
        <v>0</v>
      </c>
    </row>
    <row r="230" spans="1:4">
      <c r="A230">
        <v>8</v>
      </c>
      <c r="B230" s="2" t="s">
        <v>5</v>
      </c>
      <c r="C230" s="6">
        <v>40090</v>
      </c>
      <c r="D230">
        <v>0</v>
      </c>
    </row>
    <row r="231" spans="1:4">
      <c r="A231">
        <v>8</v>
      </c>
      <c r="B231" s="2" t="s">
        <v>5</v>
      </c>
      <c r="C231" s="6">
        <v>40091</v>
      </c>
      <c r="D231">
        <v>0</v>
      </c>
    </row>
    <row r="232" spans="1:4">
      <c r="A232">
        <v>8</v>
      </c>
      <c r="B232" s="2" t="s">
        <v>5</v>
      </c>
      <c r="C232" s="6">
        <v>40092</v>
      </c>
      <c r="D232">
        <v>0</v>
      </c>
    </row>
    <row r="233" spans="1:4">
      <c r="A233">
        <v>8</v>
      </c>
      <c r="B233" s="2" t="s">
        <v>5</v>
      </c>
      <c r="C233" s="6">
        <v>40093</v>
      </c>
      <c r="D233">
        <v>0</v>
      </c>
    </row>
    <row r="234" spans="1:4">
      <c r="A234">
        <v>8</v>
      </c>
      <c r="B234" s="2" t="s">
        <v>5</v>
      </c>
      <c r="C234" s="6">
        <v>40094</v>
      </c>
      <c r="D234">
        <v>0</v>
      </c>
    </row>
    <row r="235" spans="1:4">
      <c r="A235">
        <v>8</v>
      </c>
      <c r="B235" s="2" t="s">
        <v>5</v>
      </c>
      <c r="C235" s="6">
        <v>40095</v>
      </c>
      <c r="D235">
        <v>0</v>
      </c>
    </row>
    <row r="236" spans="1:4">
      <c r="A236">
        <v>8</v>
      </c>
      <c r="B236" s="2" t="s">
        <v>5</v>
      </c>
      <c r="C236" s="6">
        <v>40096</v>
      </c>
      <c r="D236">
        <v>0</v>
      </c>
    </row>
    <row r="237" spans="1:4">
      <c r="A237">
        <v>8</v>
      </c>
      <c r="B237" s="2" t="s">
        <v>5</v>
      </c>
      <c r="C237" s="6">
        <v>40097</v>
      </c>
      <c r="D237">
        <v>0</v>
      </c>
    </row>
    <row r="238" spans="1:4">
      <c r="A238">
        <v>8</v>
      </c>
      <c r="B238" s="2" t="s">
        <v>5</v>
      </c>
      <c r="C238" s="6">
        <v>40098</v>
      </c>
      <c r="D238">
        <v>0</v>
      </c>
    </row>
    <row r="239" spans="1:4">
      <c r="A239">
        <v>8</v>
      </c>
      <c r="B239" s="2" t="s">
        <v>5</v>
      </c>
      <c r="C239" s="6">
        <v>40099</v>
      </c>
      <c r="D239">
        <v>0</v>
      </c>
    </row>
    <row r="240" spans="1:4">
      <c r="A240">
        <v>8</v>
      </c>
      <c r="B240" s="2" t="s">
        <v>5</v>
      </c>
      <c r="C240" s="6">
        <v>40100</v>
      </c>
      <c r="D240">
        <v>0</v>
      </c>
    </row>
    <row r="241" spans="1:4">
      <c r="A241">
        <v>8</v>
      </c>
      <c r="B241" s="2" t="s">
        <v>5</v>
      </c>
      <c r="C241" s="6">
        <v>40101</v>
      </c>
      <c r="D241">
        <v>0</v>
      </c>
    </row>
    <row r="242" spans="1:4">
      <c r="A242">
        <v>8</v>
      </c>
      <c r="B242" s="2" t="s">
        <v>5</v>
      </c>
      <c r="C242" s="6">
        <v>40102</v>
      </c>
      <c r="D242">
        <v>0</v>
      </c>
    </row>
    <row r="243" spans="1:4">
      <c r="A243">
        <v>8</v>
      </c>
      <c r="B243" s="2" t="s">
        <v>5</v>
      </c>
      <c r="C243" s="6">
        <v>40103</v>
      </c>
      <c r="D243">
        <v>0</v>
      </c>
    </row>
    <row r="244" spans="1:4">
      <c r="A244">
        <v>8</v>
      </c>
      <c r="B244" s="2" t="s">
        <v>5</v>
      </c>
      <c r="C244" s="6">
        <v>40104</v>
      </c>
      <c r="D244">
        <v>0</v>
      </c>
    </row>
    <row r="245" spans="1:4">
      <c r="A245">
        <v>8</v>
      </c>
      <c r="B245" s="2" t="s">
        <v>5</v>
      </c>
      <c r="C245" s="6">
        <v>40105</v>
      </c>
      <c r="D245">
        <v>0</v>
      </c>
    </row>
    <row r="246" spans="1:4">
      <c r="A246">
        <v>8</v>
      </c>
      <c r="B246" s="2" t="s">
        <v>5</v>
      </c>
      <c r="C246" s="6">
        <v>40106</v>
      </c>
      <c r="D246">
        <v>0</v>
      </c>
    </row>
    <row r="247" spans="1:4">
      <c r="A247">
        <v>8</v>
      </c>
      <c r="B247" s="2" t="s">
        <v>5</v>
      </c>
      <c r="C247" s="6">
        <v>40107</v>
      </c>
      <c r="D247">
        <v>0</v>
      </c>
    </row>
    <row r="248" spans="1:4">
      <c r="A248">
        <v>8</v>
      </c>
      <c r="B248" s="2" t="s">
        <v>5</v>
      </c>
      <c r="C248" s="6">
        <v>40108</v>
      </c>
      <c r="D248">
        <v>0</v>
      </c>
    </row>
    <row r="249" spans="1:4">
      <c r="A249">
        <v>8</v>
      </c>
      <c r="B249" s="2" t="s">
        <v>5</v>
      </c>
      <c r="C249" s="6">
        <v>40109</v>
      </c>
      <c r="D249">
        <v>0</v>
      </c>
    </row>
    <row r="250" spans="1:4">
      <c r="A250">
        <v>8</v>
      </c>
      <c r="B250" s="2" t="s">
        <v>5</v>
      </c>
      <c r="C250" s="6">
        <v>40110</v>
      </c>
      <c r="D250">
        <v>0</v>
      </c>
    </row>
    <row r="251" spans="1:4">
      <c r="A251">
        <v>8</v>
      </c>
      <c r="B251" s="2" t="s">
        <v>5</v>
      </c>
      <c r="C251" s="6">
        <v>40111</v>
      </c>
      <c r="D251">
        <v>0</v>
      </c>
    </row>
    <row r="252" spans="1:4">
      <c r="A252">
        <v>8</v>
      </c>
      <c r="B252" s="2" t="s">
        <v>5</v>
      </c>
      <c r="C252" s="6">
        <v>40112</v>
      </c>
      <c r="D252">
        <v>0</v>
      </c>
    </row>
    <row r="253" spans="1:4">
      <c r="A253">
        <v>8</v>
      </c>
      <c r="B253" s="2" t="s">
        <v>5</v>
      </c>
      <c r="C253" s="6">
        <v>40113</v>
      </c>
      <c r="D253">
        <v>0</v>
      </c>
    </row>
    <row r="254" spans="1:4">
      <c r="A254">
        <v>8</v>
      </c>
      <c r="B254" s="2" t="s">
        <v>5</v>
      </c>
      <c r="C254" s="6">
        <v>40114</v>
      </c>
      <c r="D254">
        <v>0</v>
      </c>
    </row>
    <row r="255" spans="1:4">
      <c r="A255">
        <v>8</v>
      </c>
      <c r="B255" s="2" t="s">
        <v>5</v>
      </c>
      <c r="C255" s="6">
        <v>40115</v>
      </c>
      <c r="D255">
        <v>0</v>
      </c>
    </row>
    <row r="256" spans="1:4">
      <c r="A256">
        <v>8</v>
      </c>
      <c r="B256" s="2" t="s">
        <v>5</v>
      </c>
      <c r="C256" s="6">
        <v>40116</v>
      </c>
      <c r="D256">
        <v>0</v>
      </c>
    </row>
    <row r="257" spans="1:4">
      <c r="A257">
        <v>8</v>
      </c>
      <c r="B257" s="2" t="s">
        <v>5</v>
      </c>
      <c r="C257" s="6">
        <v>40117</v>
      </c>
      <c r="D257">
        <v>0</v>
      </c>
    </row>
    <row r="258" spans="1:4">
      <c r="A258">
        <v>9</v>
      </c>
      <c r="B258" s="2" t="s">
        <v>6</v>
      </c>
      <c r="C258" s="6">
        <v>40086</v>
      </c>
      <c r="D258">
        <v>0</v>
      </c>
    </row>
    <row r="259" spans="1:4">
      <c r="A259">
        <v>9</v>
      </c>
      <c r="B259" s="2" t="s">
        <v>6</v>
      </c>
      <c r="C259" s="6">
        <v>40087</v>
      </c>
      <c r="D259">
        <v>0</v>
      </c>
    </row>
    <row r="260" spans="1:4">
      <c r="A260">
        <v>9</v>
      </c>
      <c r="B260" s="2" t="s">
        <v>6</v>
      </c>
      <c r="C260" s="6">
        <v>40088</v>
      </c>
      <c r="D260">
        <v>0</v>
      </c>
    </row>
    <row r="261" spans="1:4">
      <c r="A261">
        <v>9</v>
      </c>
      <c r="B261" s="2" t="s">
        <v>6</v>
      </c>
      <c r="C261" s="6">
        <v>40089</v>
      </c>
      <c r="D261">
        <v>0</v>
      </c>
    </row>
    <row r="262" spans="1:4">
      <c r="A262">
        <v>9</v>
      </c>
      <c r="B262" s="2" t="s">
        <v>6</v>
      </c>
      <c r="C262" s="6">
        <v>40090</v>
      </c>
      <c r="D262">
        <v>0</v>
      </c>
    </row>
    <row r="263" spans="1:4">
      <c r="A263">
        <v>9</v>
      </c>
      <c r="B263" s="2" t="s">
        <v>6</v>
      </c>
      <c r="C263" s="6">
        <v>40091</v>
      </c>
      <c r="D263">
        <v>0</v>
      </c>
    </row>
    <row r="264" spans="1:4">
      <c r="A264">
        <v>9</v>
      </c>
      <c r="B264" s="2" t="s">
        <v>6</v>
      </c>
      <c r="C264" s="6">
        <v>40092</v>
      </c>
      <c r="D264">
        <v>0</v>
      </c>
    </row>
    <row r="265" spans="1:4">
      <c r="A265">
        <v>9</v>
      </c>
      <c r="B265" s="2" t="s">
        <v>6</v>
      </c>
      <c r="C265" s="6">
        <v>40093</v>
      </c>
      <c r="D265">
        <v>0</v>
      </c>
    </row>
    <row r="266" spans="1:4">
      <c r="A266">
        <v>9</v>
      </c>
      <c r="B266" s="2" t="s">
        <v>6</v>
      </c>
      <c r="C266" s="6">
        <v>40094</v>
      </c>
      <c r="D266">
        <v>0</v>
      </c>
    </row>
    <row r="267" spans="1:4">
      <c r="A267">
        <v>9</v>
      </c>
      <c r="B267" s="2" t="s">
        <v>6</v>
      </c>
      <c r="C267" s="6">
        <v>40095</v>
      </c>
      <c r="D267">
        <v>0</v>
      </c>
    </row>
    <row r="268" spans="1:4">
      <c r="A268">
        <v>9</v>
      </c>
      <c r="B268" s="2" t="s">
        <v>6</v>
      </c>
      <c r="C268" s="6">
        <v>40096</v>
      </c>
      <c r="D268">
        <v>0</v>
      </c>
    </row>
    <row r="269" spans="1:4">
      <c r="A269">
        <v>9</v>
      </c>
      <c r="B269" s="2" t="s">
        <v>6</v>
      </c>
      <c r="C269" s="6">
        <v>40097</v>
      </c>
      <c r="D269">
        <v>0</v>
      </c>
    </row>
    <row r="270" spans="1:4">
      <c r="A270">
        <v>9</v>
      </c>
      <c r="B270" s="2" t="s">
        <v>6</v>
      </c>
      <c r="C270" s="6">
        <v>40098</v>
      </c>
      <c r="D270">
        <v>0</v>
      </c>
    </row>
    <row r="271" spans="1:4">
      <c r="A271">
        <v>9</v>
      </c>
      <c r="B271" s="2" t="s">
        <v>6</v>
      </c>
      <c r="C271" s="6">
        <v>40099</v>
      </c>
      <c r="D271">
        <v>0</v>
      </c>
    </row>
    <row r="272" spans="1:4">
      <c r="A272">
        <v>9</v>
      </c>
      <c r="B272" s="2" t="s">
        <v>6</v>
      </c>
      <c r="C272" s="6">
        <v>40100</v>
      </c>
      <c r="D272">
        <v>0</v>
      </c>
    </row>
    <row r="273" spans="1:4">
      <c r="A273">
        <v>9</v>
      </c>
      <c r="B273" s="2" t="s">
        <v>6</v>
      </c>
      <c r="C273" s="6">
        <v>40101</v>
      </c>
      <c r="D273">
        <v>0</v>
      </c>
    </row>
    <row r="274" spans="1:4">
      <c r="A274">
        <v>9</v>
      </c>
      <c r="B274" s="2" t="s">
        <v>6</v>
      </c>
      <c r="C274" s="6">
        <v>40102</v>
      </c>
      <c r="D274">
        <v>0</v>
      </c>
    </row>
    <row r="275" spans="1:4">
      <c r="A275">
        <v>9</v>
      </c>
      <c r="B275" s="2" t="s">
        <v>6</v>
      </c>
      <c r="C275" s="6">
        <v>40103</v>
      </c>
      <c r="D275">
        <v>0</v>
      </c>
    </row>
    <row r="276" spans="1:4">
      <c r="A276">
        <v>9</v>
      </c>
      <c r="B276" s="2" t="s">
        <v>6</v>
      </c>
      <c r="C276" s="6">
        <v>40104</v>
      </c>
      <c r="D276">
        <v>0</v>
      </c>
    </row>
    <row r="277" spans="1:4">
      <c r="A277">
        <v>9</v>
      </c>
      <c r="B277" s="2" t="s">
        <v>6</v>
      </c>
      <c r="C277" s="6">
        <v>40105</v>
      </c>
      <c r="D277">
        <v>0</v>
      </c>
    </row>
    <row r="278" spans="1:4">
      <c r="A278">
        <v>9</v>
      </c>
      <c r="B278" s="2" t="s">
        <v>6</v>
      </c>
      <c r="C278" s="6">
        <v>40106</v>
      </c>
      <c r="D278">
        <v>0</v>
      </c>
    </row>
    <row r="279" spans="1:4">
      <c r="A279">
        <v>9</v>
      </c>
      <c r="B279" s="2" t="s">
        <v>6</v>
      </c>
      <c r="C279" s="6">
        <v>40107</v>
      </c>
      <c r="D279">
        <v>0</v>
      </c>
    </row>
    <row r="280" spans="1:4">
      <c r="A280">
        <v>9</v>
      </c>
      <c r="B280" s="2" t="s">
        <v>6</v>
      </c>
      <c r="C280" s="6">
        <v>40108</v>
      </c>
      <c r="D280">
        <v>0</v>
      </c>
    </row>
    <row r="281" spans="1:4">
      <c r="A281">
        <v>9</v>
      </c>
      <c r="B281" s="2" t="s">
        <v>6</v>
      </c>
      <c r="C281" s="6">
        <v>40109</v>
      </c>
      <c r="D281">
        <v>0</v>
      </c>
    </row>
    <row r="282" spans="1:4">
      <c r="A282">
        <v>9</v>
      </c>
      <c r="B282" s="2" t="s">
        <v>6</v>
      </c>
      <c r="C282" s="6">
        <v>40110</v>
      </c>
      <c r="D282">
        <v>0</v>
      </c>
    </row>
    <row r="283" spans="1:4">
      <c r="A283">
        <v>9</v>
      </c>
      <c r="B283" s="2" t="s">
        <v>6</v>
      </c>
      <c r="C283" s="6">
        <v>40111</v>
      </c>
      <c r="D283">
        <v>0</v>
      </c>
    </row>
    <row r="284" spans="1:4">
      <c r="A284">
        <v>9</v>
      </c>
      <c r="B284" s="2" t="s">
        <v>6</v>
      </c>
      <c r="C284" s="6">
        <v>40112</v>
      </c>
      <c r="D284">
        <v>0</v>
      </c>
    </row>
    <row r="285" spans="1:4">
      <c r="A285">
        <v>9</v>
      </c>
      <c r="B285" s="2" t="s">
        <v>6</v>
      </c>
      <c r="C285" s="6">
        <v>40113</v>
      </c>
      <c r="D285">
        <v>0</v>
      </c>
    </row>
    <row r="286" spans="1:4">
      <c r="A286">
        <v>9</v>
      </c>
      <c r="B286" s="2" t="s">
        <v>6</v>
      </c>
      <c r="C286" s="6">
        <v>40114</v>
      </c>
      <c r="D286">
        <v>0</v>
      </c>
    </row>
    <row r="287" spans="1:4">
      <c r="A287">
        <v>9</v>
      </c>
      <c r="B287" s="2" t="s">
        <v>6</v>
      </c>
      <c r="C287" s="6">
        <v>40115</v>
      </c>
      <c r="D287">
        <v>0</v>
      </c>
    </row>
    <row r="288" spans="1:4">
      <c r="A288">
        <v>9</v>
      </c>
      <c r="B288" s="2" t="s">
        <v>6</v>
      </c>
      <c r="C288" s="6">
        <v>40116</v>
      </c>
      <c r="D288">
        <v>0</v>
      </c>
    </row>
    <row r="289" spans="1:4">
      <c r="A289">
        <v>9</v>
      </c>
      <c r="B289" s="2" t="s">
        <v>6</v>
      </c>
      <c r="C289" s="6">
        <v>40117</v>
      </c>
      <c r="D289">
        <v>0</v>
      </c>
    </row>
    <row r="290" spans="1:4">
      <c r="A290">
        <v>10</v>
      </c>
      <c r="B290" s="2" t="s">
        <v>7</v>
      </c>
      <c r="C290" s="6">
        <v>40086</v>
      </c>
      <c r="D290">
        <v>0</v>
      </c>
    </row>
    <row r="291" spans="1:4">
      <c r="A291">
        <v>10</v>
      </c>
      <c r="B291" s="2" t="s">
        <v>7</v>
      </c>
      <c r="C291" s="6">
        <v>40087</v>
      </c>
      <c r="D291">
        <v>0.13400000000000001</v>
      </c>
    </row>
    <row r="292" spans="1:4">
      <c r="A292">
        <v>10</v>
      </c>
      <c r="B292" s="2" t="s">
        <v>7</v>
      </c>
      <c r="C292" s="6">
        <v>40088</v>
      </c>
      <c r="D292">
        <v>0.13400000000000001</v>
      </c>
    </row>
    <row r="293" spans="1:4">
      <c r="A293">
        <v>10</v>
      </c>
      <c r="B293" s="2" t="s">
        <v>7</v>
      </c>
      <c r="C293" s="6">
        <v>40089</v>
      </c>
      <c r="D293">
        <v>0.13400000000000001</v>
      </c>
    </row>
    <row r="294" spans="1:4">
      <c r="A294">
        <v>10</v>
      </c>
      <c r="B294" s="2" t="s">
        <v>7</v>
      </c>
      <c r="C294" s="6">
        <v>40090</v>
      </c>
      <c r="D294">
        <v>0.13400000000000001</v>
      </c>
    </row>
    <row r="295" spans="1:4">
      <c r="A295">
        <v>10</v>
      </c>
      <c r="B295" s="2" t="s">
        <v>7</v>
      </c>
      <c r="C295" s="6">
        <v>40091</v>
      </c>
      <c r="D295">
        <v>0.13400000000000001</v>
      </c>
    </row>
    <row r="296" spans="1:4">
      <c r="A296">
        <v>10</v>
      </c>
      <c r="B296" s="2" t="s">
        <v>7</v>
      </c>
      <c r="C296" s="6">
        <v>40092</v>
      </c>
      <c r="D296">
        <v>0.13400000000000001</v>
      </c>
    </row>
    <row r="297" spans="1:4">
      <c r="A297">
        <v>10</v>
      </c>
      <c r="B297" s="2" t="s">
        <v>7</v>
      </c>
      <c r="C297" s="6">
        <v>40093</v>
      </c>
      <c r="D297">
        <v>0.13400000000000001</v>
      </c>
    </row>
    <row r="298" spans="1:4">
      <c r="A298">
        <v>10</v>
      </c>
      <c r="B298" s="2" t="s">
        <v>7</v>
      </c>
      <c r="C298" s="6">
        <v>40094</v>
      </c>
      <c r="D298">
        <v>0.13400000000000001</v>
      </c>
    </row>
    <row r="299" spans="1:4">
      <c r="A299">
        <v>10</v>
      </c>
      <c r="B299" s="2" t="s">
        <v>7</v>
      </c>
      <c r="C299" s="6">
        <v>40095</v>
      </c>
      <c r="D299">
        <v>0.13400000000000001</v>
      </c>
    </row>
    <row r="300" spans="1:4">
      <c r="A300">
        <v>10</v>
      </c>
      <c r="B300" s="2" t="s">
        <v>7</v>
      </c>
      <c r="C300" s="6">
        <v>40096</v>
      </c>
      <c r="D300">
        <v>0.13400000000000001</v>
      </c>
    </row>
    <row r="301" spans="1:4">
      <c r="A301">
        <v>10</v>
      </c>
      <c r="B301" s="2" t="s">
        <v>7</v>
      </c>
      <c r="C301" s="6">
        <v>40097</v>
      </c>
      <c r="D301">
        <v>0.13400000000000001</v>
      </c>
    </row>
    <row r="302" spans="1:4">
      <c r="A302">
        <v>10</v>
      </c>
      <c r="B302" s="2" t="s">
        <v>7</v>
      </c>
      <c r="C302" s="6">
        <v>40098</v>
      </c>
      <c r="D302">
        <v>0.13500000000000001</v>
      </c>
    </row>
    <row r="303" spans="1:4">
      <c r="A303">
        <v>10</v>
      </c>
      <c r="B303" s="2" t="s">
        <v>7</v>
      </c>
      <c r="C303" s="6">
        <v>40099</v>
      </c>
      <c r="D303">
        <v>0.13500000000000001</v>
      </c>
    </row>
    <row r="304" spans="1:4">
      <c r="A304">
        <v>10</v>
      </c>
      <c r="B304" s="2" t="s">
        <v>7</v>
      </c>
      <c r="C304" s="6">
        <v>40100</v>
      </c>
      <c r="D304">
        <v>0.13500000000000001</v>
      </c>
    </row>
    <row r="305" spans="1:4">
      <c r="A305">
        <v>10</v>
      </c>
      <c r="B305" s="2" t="s">
        <v>7</v>
      </c>
      <c r="C305" s="6">
        <v>40101</v>
      </c>
      <c r="D305">
        <v>0.13500000000000001</v>
      </c>
    </row>
    <row r="306" spans="1:4">
      <c r="A306">
        <v>10</v>
      </c>
      <c r="B306" s="2" t="s">
        <v>7</v>
      </c>
      <c r="C306" s="6">
        <v>40102</v>
      </c>
      <c r="D306">
        <v>0.13400000000000001</v>
      </c>
    </row>
    <row r="307" spans="1:4">
      <c r="A307">
        <v>10</v>
      </c>
      <c r="B307" s="2" t="s">
        <v>7</v>
      </c>
      <c r="C307" s="6">
        <v>40103</v>
      </c>
      <c r="D307">
        <v>0.13400000000000001</v>
      </c>
    </row>
    <row r="308" spans="1:4">
      <c r="A308">
        <v>10</v>
      </c>
      <c r="B308" s="2" t="s">
        <v>7</v>
      </c>
      <c r="C308" s="6">
        <v>40104</v>
      </c>
      <c r="D308">
        <v>0.13400000000000001</v>
      </c>
    </row>
    <row r="309" spans="1:4">
      <c r="A309">
        <v>10</v>
      </c>
      <c r="B309" s="2" t="s">
        <v>7</v>
      </c>
      <c r="C309" s="6">
        <v>40105</v>
      </c>
      <c r="D309">
        <v>0.13400000000000001</v>
      </c>
    </row>
    <row r="310" spans="1:4">
      <c r="A310">
        <v>10</v>
      </c>
      <c r="B310" s="2" t="s">
        <v>7</v>
      </c>
      <c r="C310" s="6">
        <v>40106</v>
      </c>
      <c r="D310">
        <v>0.13400000000000001</v>
      </c>
    </row>
    <row r="311" spans="1:4">
      <c r="A311">
        <v>10</v>
      </c>
      <c r="B311" s="2" t="s">
        <v>7</v>
      </c>
      <c r="C311" s="6">
        <v>40107</v>
      </c>
      <c r="D311">
        <v>0.13400000000000001</v>
      </c>
    </row>
    <row r="312" spans="1:4">
      <c r="A312">
        <v>10</v>
      </c>
      <c r="B312" s="2" t="s">
        <v>7</v>
      </c>
      <c r="C312" s="6">
        <v>40108</v>
      </c>
      <c r="D312">
        <v>0.13400000000000001</v>
      </c>
    </row>
    <row r="313" spans="1:4">
      <c r="A313">
        <v>10</v>
      </c>
      <c r="B313" s="2" t="s">
        <v>7</v>
      </c>
      <c r="C313" s="6">
        <v>40109</v>
      </c>
      <c r="D313">
        <v>0.13400000000000001</v>
      </c>
    </row>
    <row r="314" spans="1:4">
      <c r="A314">
        <v>10</v>
      </c>
      <c r="B314" s="2" t="s">
        <v>7</v>
      </c>
      <c r="C314" s="6">
        <v>40110</v>
      </c>
      <c r="D314">
        <v>0.13400000000000001</v>
      </c>
    </row>
    <row r="315" spans="1:4">
      <c r="A315">
        <v>10</v>
      </c>
      <c r="B315" s="2" t="s">
        <v>7</v>
      </c>
      <c r="C315" s="6">
        <v>40111</v>
      </c>
      <c r="D315">
        <v>0.13400000000000001</v>
      </c>
    </row>
    <row r="316" spans="1:4">
      <c r="A316">
        <v>10</v>
      </c>
      <c r="B316" s="2" t="s">
        <v>7</v>
      </c>
      <c r="C316" s="6">
        <v>40112</v>
      </c>
      <c r="D316">
        <v>0.13500000000000001</v>
      </c>
    </row>
    <row r="317" spans="1:4">
      <c r="A317">
        <v>10</v>
      </c>
      <c r="B317" s="2" t="s">
        <v>7</v>
      </c>
      <c r="C317" s="6">
        <v>40113</v>
      </c>
      <c r="D317">
        <v>0.13500000000000001</v>
      </c>
    </row>
    <row r="318" spans="1:4">
      <c r="A318">
        <v>10</v>
      </c>
      <c r="B318" s="2" t="s">
        <v>7</v>
      </c>
      <c r="C318" s="6">
        <v>40114</v>
      </c>
      <c r="D318">
        <v>1.64</v>
      </c>
    </row>
    <row r="319" spans="1:4">
      <c r="A319">
        <v>10</v>
      </c>
      <c r="B319" s="2" t="s">
        <v>7</v>
      </c>
      <c r="C319" s="6">
        <v>40115</v>
      </c>
      <c r="D319">
        <v>0.14000000000000001</v>
      </c>
    </row>
    <row r="320" spans="1:4">
      <c r="A320">
        <v>10</v>
      </c>
      <c r="B320" s="2" t="s">
        <v>7</v>
      </c>
      <c r="C320" s="6">
        <v>40116</v>
      </c>
      <c r="D320">
        <v>0.13500000000000001</v>
      </c>
    </row>
    <row r="321" spans="1:4">
      <c r="A321">
        <v>10</v>
      </c>
      <c r="B321" s="2" t="s">
        <v>7</v>
      </c>
      <c r="C321" s="6">
        <v>40117</v>
      </c>
      <c r="D321">
        <v>0.13500000000000001</v>
      </c>
    </row>
    <row r="322" spans="1:4">
      <c r="A322">
        <v>11</v>
      </c>
      <c r="B322" s="2" t="s">
        <v>8</v>
      </c>
      <c r="C322" s="6">
        <v>40086</v>
      </c>
      <c r="D322">
        <v>0</v>
      </c>
    </row>
    <row r="323" spans="1:4">
      <c r="A323">
        <v>11</v>
      </c>
      <c r="B323" s="2" t="s">
        <v>8</v>
      </c>
      <c r="C323" s="6">
        <v>40087</v>
      </c>
      <c r="D323">
        <v>0.13400000000000001</v>
      </c>
    </row>
    <row r="324" spans="1:4">
      <c r="A324">
        <v>11</v>
      </c>
      <c r="B324" s="2" t="s">
        <v>8</v>
      </c>
      <c r="C324" s="6">
        <v>40088</v>
      </c>
      <c r="D324">
        <v>0.13400000000000001</v>
      </c>
    </row>
    <row r="325" spans="1:4">
      <c r="A325">
        <v>11</v>
      </c>
      <c r="B325" s="2" t="s">
        <v>8</v>
      </c>
      <c r="C325" s="6">
        <v>40089</v>
      </c>
      <c r="D325">
        <v>0.13400000000000001</v>
      </c>
    </row>
    <row r="326" spans="1:4">
      <c r="A326">
        <v>11</v>
      </c>
      <c r="B326" s="2" t="s">
        <v>8</v>
      </c>
      <c r="C326" s="6">
        <v>40090</v>
      </c>
      <c r="D326">
        <v>0.13400000000000001</v>
      </c>
    </row>
    <row r="327" spans="1:4">
      <c r="A327">
        <v>11</v>
      </c>
      <c r="B327" s="2" t="s">
        <v>8</v>
      </c>
      <c r="C327" s="6">
        <v>40091</v>
      </c>
      <c r="D327">
        <v>4.26</v>
      </c>
    </row>
    <row r="328" spans="1:4">
      <c r="A328">
        <v>11</v>
      </c>
      <c r="B328" s="2" t="s">
        <v>8</v>
      </c>
      <c r="C328" s="6">
        <v>40092</v>
      </c>
      <c r="D328">
        <v>0.13</v>
      </c>
    </row>
    <row r="329" spans="1:4">
      <c r="A329">
        <v>11</v>
      </c>
      <c r="B329" s="2" t="s">
        <v>8</v>
      </c>
      <c r="C329" s="6">
        <v>40093</v>
      </c>
      <c r="D329">
        <v>0.13</v>
      </c>
    </row>
    <row r="330" spans="1:4">
      <c r="A330">
        <v>11</v>
      </c>
      <c r="B330" s="2" t="s">
        <v>8</v>
      </c>
      <c r="C330" s="6">
        <v>40094</v>
      </c>
      <c r="D330">
        <v>1.1299999999999999</v>
      </c>
    </row>
    <row r="331" spans="1:4">
      <c r="A331">
        <v>11</v>
      </c>
      <c r="B331" s="2" t="s">
        <v>8</v>
      </c>
      <c r="C331" s="6">
        <v>40095</v>
      </c>
      <c r="D331">
        <v>1.2</v>
      </c>
    </row>
    <row r="332" spans="1:4">
      <c r="A332">
        <v>11</v>
      </c>
      <c r="B332" s="2" t="s">
        <v>8</v>
      </c>
      <c r="C332" s="6">
        <v>40096</v>
      </c>
      <c r="D332">
        <v>0.59</v>
      </c>
    </row>
    <row r="333" spans="1:4">
      <c r="A333">
        <v>11</v>
      </c>
      <c r="B333" s="2" t="s">
        <v>8</v>
      </c>
      <c r="C333" s="6">
        <v>40097</v>
      </c>
      <c r="D333">
        <v>0</v>
      </c>
    </row>
    <row r="334" spans="1:4">
      <c r="A334">
        <v>11</v>
      </c>
      <c r="B334" s="2" t="s">
        <v>8</v>
      </c>
      <c r="C334" s="6">
        <v>40098</v>
      </c>
      <c r="D334">
        <v>0</v>
      </c>
    </row>
    <row r="335" spans="1:4">
      <c r="A335">
        <v>11</v>
      </c>
      <c r="B335" s="2" t="s">
        <v>8</v>
      </c>
      <c r="C335" s="6">
        <v>40099</v>
      </c>
      <c r="D335">
        <v>0</v>
      </c>
    </row>
    <row r="336" spans="1:4">
      <c r="A336">
        <v>11</v>
      </c>
      <c r="B336" s="2" t="s">
        <v>8</v>
      </c>
      <c r="C336" s="6">
        <v>40100</v>
      </c>
      <c r="D336">
        <v>0</v>
      </c>
    </row>
    <row r="337" spans="1:4">
      <c r="A337">
        <v>11</v>
      </c>
      <c r="B337" s="2" t="s">
        <v>8</v>
      </c>
      <c r="C337" s="6">
        <v>40101</v>
      </c>
      <c r="D337">
        <v>0</v>
      </c>
    </row>
    <row r="338" spans="1:4">
      <c r="A338">
        <v>11</v>
      </c>
      <c r="B338" s="2" t="s">
        <v>8</v>
      </c>
      <c r="C338" s="6">
        <v>40102</v>
      </c>
      <c r="D338">
        <v>0</v>
      </c>
    </row>
    <row r="339" spans="1:4">
      <c r="A339">
        <v>11</v>
      </c>
      <c r="B339" s="2" t="s">
        <v>8</v>
      </c>
      <c r="C339" s="6">
        <v>40103</v>
      </c>
      <c r="D339">
        <v>0</v>
      </c>
    </row>
    <row r="340" spans="1:4">
      <c r="A340">
        <v>11</v>
      </c>
      <c r="B340" s="2" t="s">
        <v>8</v>
      </c>
      <c r="C340" s="6">
        <v>40104</v>
      </c>
      <c r="D340">
        <v>0</v>
      </c>
    </row>
    <row r="341" spans="1:4">
      <c r="A341">
        <v>11</v>
      </c>
      <c r="B341" s="2" t="s">
        <v>8</v>
      </c>
      <c r="C341" s="6">
        <v>40105</v>
      </c>
      <c r="D341">
        <v>0</v>
      </c>
    </row>
    <row r="342" spans="1:4">
      <c r="A342">
        <v>11</v>
      </c>
      <c r="B342" s="2" t="s">
        <v>8</v>
      </c>
      <c r="C342" s="6">
        <v>40106</v>
      </c>
      <c r="D342">
        <v>0</v>
      </c>
    </row>
    <row r="343" spans="1:4">
      <c r="A343">
        <v>11</v>
      </c>
      <c r="B343" s="2" t="s">
        <v>8</v>
      </c>
      <c r="C343" s="6">
        <v>40107</v>
      </c>
      <c r="D343">
        <v>0.5</v>
      </c>
    </row>
    <row r="344" spans="1:4">
      <c r="A344">
        <v>11</v>
      </c>
      <c r="B344" s="2" t="s">
        <v>8</v>
      </c>
      <c r="C344" s="6">
        <v>40108</v>
      </c>
      <c r="D344">
        <v>1.5</v>
      </c>
    </row>
    <row r="345" spans="1:4">
      <c r="A345">
        <v>11</v>
      </c>
      <c r="B345" s="2" t="s">
        <v>8</v>
      </c>
      <c r="C345" s="6">
        <v>40109</v>
      </c>
      <c r="D345">
        <v>0.5</v>
      </c>
    </row>
    <row r="346" spans="1:4">
      <c r="A346">
        <v>11</v>
      </c>
      <c r="B346" s="2" t="s">
        <v>8</v>
      </c>
      <c r="C346" s="6">
        <v>40110</v>
      </c>
      <c r="D346">
        <v>0</v>
      </c>
    </row>
    <row r="347" spans="1:4">
      <c r="A347">
        <v>11</v>
      </c>
      <c r="B347" s="2" t="s">
        <v>8</v>
      </c>
      <c r="C347" s="6">
        <v>40111</v>
      </c>
      <c r="D347">
        <v>0</v>
      </c>
    </row>
    <row r="348" spans="1:4">
      <c r="A348">
        <v>11</v>
      </c>
      <c r="B348" s="2" t="s">
        <v>8</v>
      </c>
      <c r="C348" s="6">
        <v>40112</v>
      </c>
      <c r="D348">
        <v>0.5</v>
      </c>
    </row>
    <row r="349" spans="1:4">
      <c r="A349">
        <v>11</v>
      </c>
      <c r="B349" s="2" t="s">
        <v>8</v>
      </c>
      <c r="C349" s="6">
        <v>40113</v>
      </c>
      <c r="D349">
        <v>0.21</v>
      </c>
    </row>
    <row r="350" spans="1:4">
      <c r="A350">
        <v>11</v>
      </c>
      <c r="B350" s="2" t="s">
        <v>8</v>
      </c>
      <c r="C350" s="6">
        <v>40114</v>
      </c>
      <c r="D350">
        <v>1.5</v>
      </c>
    </row>
    <row r="351" spans="1:4">
      <c r="A351">
        <v>11</v>
      </c>
      <c r="B351" s="2" t="s">
        <v>8</v>
      </c>
      <c r="C351" s="6">
        <v>40115</v>
      </c>
      <c r="D351">
        <v>0</v>
      </c>
    </row>
    <row r="352" spans="1:4">
      <c r="A352">
        <v>11</v>
      </c>
      <c r="B352" s="2" t="s">
        <v>8</v>
      </c>
      <c r="C352" s="6">
        <v>40116</v>
      </c>
      <c r="D352">
        <v>0</v>
      </c>
    </row>
    <row r="353" spans="1:4">
      <c r="A353">
        <v>11</v>
      </c>
      <c r="B353" s="2" t="s">
        <v>8</v>
      </c>
      <c r="C353" s="6">
        <v>40117</v>
      </c>
      <c r="D353">
        <v>0</v>
      </c>
    </row>
    <row r="354" spans="1:4">
      <c r="A354">
        <v>12</v>
      </c>
      <c r="B354" s="2" t="s">
        <v>9</v>
      </c>
      <c r="C354" s="6">
        <v>40086</v>
      </c>
      <c r="D354">
        <v>0</v>
      </c>
    </row>
    <row r="355" spans="1:4">
      <c r="A355">
        <v>12</v>
      </c>
      <c r="B355" s="2" t="s">
        <v>9</v>
      </c>
      <c r="C355" s="6">
        <v>40087</v>
      </c>
      <c r="D355">
        <v>0</v>
      </c>
    </row>
    <row r="356" spans="1:4">
      <c r="A356">
        <v>12</v>
      </c>
      <c r="B356" s="2" t="s">
        <v>9</v>
      </c>
      <c r="C356" s="6">
        <v>40088</v>
      </c>
      <c r="D356">
        <v>0</v>
      </c>
    </row>
    <row r="357" spans="1:4">
      <c r="A357">
        <v>12</v>
      </c>
      <c r="B357" s="2" t="s">
        <v>9</v>
      </c>
      <c r="C357" s="6">
        <v>40089</v>
      </c>
      <c r="D357">
        <v>0</v>
      </c>
    </row>
    <row r="358" spans="1:4">
      <c r="A358">
        <v>12</v>
      </c>
      <c r="B358" s="2" t="s">
        <v>9</v>
      </c>
      <c r="C358" s="6">
        <v>40090</v>
      </c>
      <c r="D358">
        <v>0</v>
      </c>
    </row>
    <row r="359" spans="1:4">
      <c r="A359">
        <v>12</v>
      </c>
      <c r="B359" s="2" t="s">
        <v>9</v>
      </c>
      <c r="C359" s="6">
        <v>40091</v>
      </c>
      <c r="D359">
        <v>0</v>
      </c>
    </row>
    <row r="360" spans="1:4">
      <c r="A360">
        <v>12</v>
      </c>
      <c r="B360" s="2" t="s">
        <v>9</v>
      </c>
      <c r="C360" s="6">
        <v>40092</v>
      </c>
      <c r="D360">
        <v>0</v>
      </c>
    </row>
    <row r="361" spans="1:4">
      <c r="A361">
        <v>12</v>
      </c>
      <c r="B361" s="2" t="s">
        <v>9</v>
      </c>
      <c r="C361" s="6">
        <v>40093</v>
      </c>
      <c r="D361">
        <v>0</v>
      </c>
    </row>
    <row r="362" spans="1:4">
      <c r="A362">
        <v>12</v>
      </c>
      <c r="B362" s="2" t="s">
        <v>9</v>
      </c>
      <c r="C362" s="6">
        <v>40094</v>
      </c>
      <c r="D362">
        <v>0</v>
      </c>
    </row>
    <row r="363" spans="1:4">
      <c r="A363">
        <v>12</v>
      </c>
      <c r="B363" s="2" t="s">
        <v>9</v>
      </c>
      <c r="C363" s="6">
        <v>40095</v>
      </c>
      <c r="D363">
        <v>0</v>
      </c>
    </row>
    <row r="364" spans="1:4">
      <c r="A364">
        <v>12</v>
      </c>
      <c r="B364" s="2" t="s">
        <v>9</v>
      </c>
      <c r="C364" s="6">
        <v>40096</v>
      </c>
      <c r="D364">
        <v>0</v>
      </c>
    </row>
    <row r="365" spans="1:4">
      <c r="A365">
        <v>12</v>
      </c>
      <c r="B365" s="2" t="s">
        <v>9</v>
      </c>
      <c r="C365" s="6">
        <v>40097</v>
      </c>
      <c r="D365">
        <v>0</v>
      </c>
    </row>
    <row r="366" spans="1:4">
      <c r="A366">
        <v>12</v>
      </c>
      <c r="B366" s="2" t="s">
        <v>9</v>
      </c>
      <c r="C366" s="6">
        <v>40098</v>
      </c>
      <c r="D366">
        <v>0</v>
      </c>
    </row>
    <row r="367" spans="1:4">
      <c r="A367">
        <v>12</v>
      </c>
      <c r="B367" s="2" t="s">
        <v>9</v>
      </c>
      <c r="C367" s="6">
        <v>40099</v>
      </c>
      <c r="D367">
        <v>0</v>
      </c>
    </row>
    <row r="368" spans="1:4">
      <c r="A368">
        <v>12</v>
      </c>
      <c r="B368" s="2" t="s">
        <v>9</v>
      </c>
      <c r="C368" s="6">
        <v>40100</v>
      </c>
      <c r="D368">
        <v>0</v>
      </c>
    </row>
    <row r="369" spans="1:4">
      <c r="A369">
        <v>12</v>
      </c>
      <c r="B369" s="2" t="s">
        <v>9</v>
      </c>
      <c r="C369" s="6">
        <v>40101</v>
      </c>
      <c r="D369">
        <v>0</v>
      </c>
    </row>
    <row r="370" spans="1:4">
      <c r="A370">
        <v>12</v>
      </c>
      <c r="B370" s="2" t="s">
        <v>9</v>
      </c>
      <c r="C370" s="6">
        <v>40102</v>
      </c>
      <c r="D370">
        <v>0</v>
      </c>
    </row>
    <row r="371" spans="1:4">
      <c r="A371">
        <v>12</v>
      </c>
      <c r="B371" s="2" t="s">
        <v>9</v>
      </c>
      <c r="C371" s="6">
        <v>40103</v>
      </c>
      <c r="D371">
        <v>0</v>
      </c>
    </row>
    <row r="372" spans="1:4">
      <c r="A372">
        <v>12</v>
      </c>
      <c r="B372" s="2" t="s">
        <v>9</v>
      </c>
      <c r="C372" s="6">
        <v>40104</v>
      </c>
      <c r="D372">
        <v>0</v>
      </c>
    </row>
    <row r="373" spans="1:4">
      <c r="A373">
        <v>12</v>
      </c>
      <c r="B373" s="2" t="s">
        <v>9</v>
      </c>
      <c r="C373" s="6">
        <v>40105</v>
      </c>
      <c r="D373">
        <v>0</v>
      </c>
    </row>
    <row r="374" spans="1:4">
      <c r="A374">
        <v>12</v>
      </c>
      <c r="B374" s="2" t="s">
        <v>9</v>
      </c>
      <c r="C374" s="6">
        <v>40106</v>
      </c>
      <c r="D374">
        <v>0</v>
      </c>
    </row>
    <row r="375" spans="1:4">
      <c r="A375">
        <v>12</v>
      </c>
      <c r="B375" s="2" t="s">
        <v>9</v>
      </c>
      <c r="C375" s="6">
        <v>40107</v>
      </c>
      <c r="D375">
        <v>0</v>
      </c>
    </row>
    <row r="376" spans="1:4">
      <c r="A376">
        <v>12</v>
      </c>
      <c r="B376" s="2" t="s">
        <v>9</v>
      </c>
      <c r="C376" s="6">
        <v>40108</v>
      </c>
      <c r="D376">
        <v>0</v>
      </c>
    </row>
    <row r="377" spans="1:4">
      <c r="A377">
        <v>12</v>
      </c>
      <c r="B377" s="2" t="s">
        <v>9</v>
      </c>
      <c r="C377" s="6">
        <v>40109</v>
      </c>
      <c r="D377">
        <v>0</v>
      </c>
    </row>
    <row r="378" spans="1:4">
      <c r="A378">
        <v>12</v>
      </c>
      <c r="B378" s="2" t="s">
        <v>9</v>
      </c>
      <c r="C378" s="6">
        <v>40110</v>
      </c>
      <c r="D378">
        <v>0</v>
      </c>
    </row>
    <row r="379" spans="1:4">
      <c r="A379">
        <v>12</v>
      </c>
      <c r="B379" s="2" t="s">
        <v>9</v>
      </c>
      <c r="C379" s="6">
        <v>40111</v>
      </c>
      <c r="D379">
        <v>0</v>
      </c>
    </row>
    <row r="380" spans="1:4">
      <c r="A380">
        <v>12</v>
      </c>
      <c r="B380" s="2" t="s">
        <v>9</v>
      </c>
      <c r="C380" s="6">
        <v>40112</v>
      </c>
      <c r="D380">
        <v>0</v>
      </c>
    </row>
    <row r="381" spans="1:4">
      <c r="A381">
        <v>12</v>
      </c>
      <c r="B381" s="2" t="s">
        <v>9</v>
      </c>
      <c r="C381" s="6">
        <v>40113</v>
      </c>
      <c r="D381">
        <v>0</v>
      </c>
    </row>
    <row r="382" spans="1:4">
      <c r="A382">
        <v>12</v>
      </c>
      <c r="B382" s="2" t="s">
        <v>9</v>
      </c>
      <c r="C382" s="6">
        <v>40114</v>
      </c>
      <c r="D382">
        <v>0</v>
      </c>
    </row>
    <row r="383" spans="1:4">
      <c r="A383">
        <v>12</v>
      </c>
      <c r="B383" s="2" t="s">
        <v>9</v>
      </c>
      <c r="C383" s="6">
        <v>40115</v>
      </c>
      <c r="D383">
        <v>0</v>
      </c>
    </row>
    <row r="384" spans="1:4">
      <c r="A384">
        <v>12</v>
      </c>
      <c r="B384" s="2" t="s">
        <v>9</v>
      </c>
      <c r="C384" s="6">
        <v>40116</v>
      </c>
      <c r="D384">
        <v>0</v>
      </c>
    </row>
    <row r="385" spans="1:4">
      <c r="A385">
        <v>12</v>
      </c>
      <c r="B385" s="2" t="s">
        <v>9</v>
      </c>
      <c r="C385" s="6">
        <v>40117</v>
      </c>
      <c r="D385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M154"/>
  <sheetViews>
    <sheetView workbookViewId="0">
      <selection activeCell="N9" sqref="N9"/>
    </sheetView>
  </sheetViews>
  <sheetFormatPr defaultRowHeight="14.4"/>
  <cols>
    <col min="1" max="1" width="20.77734375" customWidth="1"/>
    <col min="2" max="2" width="15.5546875" bestFit="1" customWidth="1"/>
    <col min="3" max="5" width="6" customWidth="1"/>
    <col min="6" max="7" width="2" customWidth="1"/>
    <col min="8" max="8" width="5" customWidth="1"/>
    <col min="9" max="10" width="2" customWidth="1"/>
    <col min="11" max="12" width="6" customWidth="1"/>
    <col min="13" max="13" width="3" customWidth="1"/>
    <col min="14" max="14" width="10.77734375" bestFit="1" customWidth="1"/>
  </cols>
  <sheetData>
    <row r="1" spans="1:13">
      <c r="A1" s="98" t="s">
        <v>176</v>
      </c>
      <c r="B1" s="98" t="s">
        <v>175</v>
      </c>
    </row>
    <row r="2" spans="1:13">
      <c r="A2" s="98" t="s">
        <v>174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</row>
    <row r="3" spans="1:13">
      <c r="A3" s="99">
        <v>40086</v>
      </c>
      <c r="B3" s="100">
        <v>4.4980000000000002</v>
      </c>
      <c r="C3" s="100">
        <v>7.8849999999999998</v>
      </c>
      <c r="D3" s="100">
        <v>4.8029999999999999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0">
        <v>0</v>
      </c>
      <c r="L3" s="100">
        <v>0</v>
      </c>
      <c r="M3" s="100">
        <v>0</v>
      </c>
    </row>
    <row r="4" spans="1:13">
      <c r="A4" s="99">
        <v>40087</v>
      </c>
      <c r="B4" s="100">
        <v>4.6079999999999997</v>
      </c>
      <c r="C4" s="100">
        <v>4.7149999999999999</v>
      </c>
      <c r="D4" s="100">
        <v>4.7839999999999998</v>
      </c>
      <c r="E4" s="100">
        <v>0</v>
      </c>
      <c r="F4" s="100">
        <v>0</v>
      </c>
      <c r="G4" s="100">
        <v>0</v>
      </c>
      <c r="H4" s="100">
        <v>0</v>
      </c>
      <c r="I4" s="100">
        <v>0</v>
      </c>
      <c r="J4" s="100">
        <v>0</v>
      </c>
      <c r="K4" s="100">
        <v>0.13400000000000001</v>
      </c>
      <c r="L4" s="100">
        <v>0.13400000000000001</v>
      </c>
      <c r="M4" s="100">
        <v>0</v>
      </c>
    </row>
    <row r="5" spans="1:13">
      <c r="A5" s="99">
        <v>40088</v>
      </c>
      <c r="B5" s="100">
        <v>5.048</v>
      </c>
      <c r="C5" s="100">
        <v>5.7359999999999998</v>
      </c>
      <c r="D5" s="100">
        <v>4.5739999999999998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0">
        <v>0.13400000000000001</v>
      </c>
      <c r="L5" s="100">
        <v>0.13400000000000001</v>
      </c>
      <c r="M5" s="100">
        <v>0</v>
      </c>
    </row>
    <row r="6" spans="1:13">
      <c r="A6" s="99">
        <v>40089</v>
      </c>
      <c r="B6" s="100">
        <v>4.8499999999999996</v>
      </c>
      <c r="C6" s="100">
        <v>5.4660000000000002</v>
      </c>
      <c r="D6" s="100">
        <v>4.5430000000000001</v>
      </c>
      <c r="E6" s="100">
        <v>0</v>
      </c>
      <c r="F6" s="100">
        <v>0</v>
      </c>
      <c r="G6" s="100">
        <v>0</v>
      </c>
      <c r="H6" s="100">
        <v>0</v>
      </c>
      <c r="I6" s="100">
        <v>0</v>
      </c>
      <c r="J6" s="100">
        <v>0</v>
      </c>
      <c r="K6" s="100">
        <v>0.13400000000000001</v>
      </c>
      <c r="L6" s="100">
        <v>0.13400000000000001</v>
      </c>
      <c r="M6" s="100">
        <v>0</v>
      </c>
    </row>
    <row r="7" spans="1:13">
      <c r="A7" s="99">
        <v>40090</v>
      </c>
      <c r="B7" s="100">
        <v>4.7990000000000004</v>
      </c>
      <c r="C7" s="100">
        <v>5.3579999999999997</v>
      </c>
      <c r="D7" s="100">
        <v>4.4219999999999997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0">
        <v>0.13400000000000001</v>
      </c>
      <c r="L7" s="100">
        <v>0.13400000000000001</v>
      </c>
      <c r="M7" s="100">
        <v>0</v>
      </c>
    </row>
    <row r="8" spans="1:13">
      <c r="A8" s="99">
        <v>40091</v>
      </c>
      <c r="B8" s="100">
        <v>5.3259999999999996</v>
      </c>
      <c r="C8" s="100">
        <v>5.0529999999999999</v>
      </c>
      <c r="D8" s="100">
        <v>4.68</v>
      </c>
      <c r="E8" s="100">
        <v>1.0189999999999999</v>
      </c>
      <c r="F8" s="100">
        <v>0</v>
      </c>
      <c r="G8" s="100">
        <v>0</v>
      </c>
      <c r="H8" s="100">
        <v>3.13</v>
      </c>
      <c r="I8" s="100">
        <v>0</v>
      </c>
      <c r="J8" s="100">
        <v>0</v>
      </c>
      <c r="K8" s="100">
        <v>0.13400000000000001</v>
      </c>
      <c r="L8" s="100">
        <v>4.26</v>
      </c>
      <c r="M8" s="100">
        <v>0</v>
      </c>
    </row>
    <row r="9" spans="1:13">
      <c r="A9" s="99">
        <v>40092</v>
      </c>
      <c r="B9" s="100">
        <v>5.484</v>
      </c>
      <c r="C9" s="100">
        <v>3.9580000000000002</v>
      </c>
      <c r="D9" s="100">
        <v>4.6360000000000001</v>
      </c>
      <c r="E9" s="100">
        <v>1.74</v>
      </c>
      <c r="F9" s="100">
        <v>0</v>
      </c>
      <c r="G9" s="100">
        <v>0</v>
      </c>
      <c r="H9" s="100">
        <v>5.34</v>
      </c>
      <c r="I9" s="100">
        <v>0</v>
      </c>
      <c r="J9" s="100">
        <v>0</v>
      </c>
      <c r="K9" s="100">
        <v>0.13400000000000001</v>
      </c>
      <c r="L9" s="100">
        <v>0.13</v>
      </c>
      <c r="M9" s="100">
        <v>0</v>
      </c>
    </row>
    <row r="10" spans="1:13">
      <c r="A10" s="99">
        <v>40093</v>
      </c>
      <c r="B10" s="100">
        <v>5.4359999999999999</v>
      </c>
      <c r="C10" s="100">
        <v>2.5960000000000001</v>
      </c>
      <c r="D10" s="100">
        <v>4.8410000000000002</v>
      </c>
      <c r="E10" s="100">
        <v>1.7230000000000001</v>
      </c>
      <c r="F10" s="100">
        <v>0</v>
      </c>
      <c r="G10" s="100">
        <v>0</v>
      </c>
      <c r="H10" s="100">
        <v>5.29</v>
      </c>
      <c r="I10" s="100">
        <v>0</v>
      </c>
      <c r="J10" s="100">
        <v>0</v>
      </c>
      <c r="K10" s="100">
        <v>0.13400000000000001</v>
      </c>
      <c r="L10" s="100">
        <v>0.13</v>
      </c>
      <c r="M10" s="100">
        <v>0</v>
      </c>
    </row>
    <row r="11" spans="1:13">
      <c r="A11" s="99">
        <v>40094</v>
      </c>
      <c r="B11" s="100">
        <v>5.3739999999999997</v>
      </c>
      <c r="C11" s="100">
        <v>0.96399999999999997</v>
      </c>
      <c r="D11" s="100">
        <v>4.907</v>
      </c>
      <c r="E11" s="100">
        <v>1.7330000000000001</v>
      </c>
      <c r="F11" s="100">
        <v>0</v>
      </c>
      <c r="G11" s="100">
        <v>0</v>
      </c>
      <c r="H11" s="100">
        <v>5.32</v>
      </c>
      <c r="I11" s="100">
        <v>0</v>
      </c>
      <c r="J11" s="100">
        <v>0</v>
      </c>
      <c r="K11" s="100">
        <v>0.13400000000000001</v>
      </c>
      <c r="L11" s="100">
        <v>1.1299999999999999</v>
      </c>
      <c r="M11" s="100">
        <v>0</v>
      </c>
    </row>
    <row r="12" spans="1:13">
      <c r="A12" s="99">
        <v>40095</v>
      </c>
      <c r="B12" s="100">
        <v>5.8390000000000004</v>
      </c>
      <c r="C12" s="100">
        <v>1.8819999999999999</v>
      </c>
      <c r="D12" s="100">
        <v>3.8450000000000002</v>
      </c>
      <c r="E12" s="100">
        <v>1.7330000000000001</v>
      </c>
      <c r="F12" s="100">
        <v>0</v>
      </c>
      <c r="G12" s="100">
        <v>0</v>
      </c>
      <c r="H12" s="100">
        <v>5.32</v>
      </c>
      <c r="I12" s="100">
        <v>0</v>
      </c>
      <c r="J12" s="100">
        <v>0</v>
      </c>
      <c r="K12" s="100">
        <v>0.13400000000000001</v>
      </c>
      <c r="L12" s="100">
        <v>1.2</v>
      </c>
      <c r="M12" s="100">
        <v>0</v>
      </c>
    </row>
    <row r="13" spans="1:13">
      <c r="A13" s="99">
        <v>40096</v>
      </c>
      <c r="B13" s="100">
        <v>5.8170000000000002</v>
      </c>
      <c r="C13" s="100">
        <v>1.6990000000000001</v>
      </c>
      <c r="D13" s="100">
        <v>2.8220000000000001</v>
      </c>
      <c r="E13" s="100">
        <v>1.7330000000000001</v>
      </c>
      <c r="F13" s="100">
        <v>0</v>
      </c>
      <c r="G13" s="100">
        <v>0</v>
      </c>
      <c r="H13" s="100">
        <v>5.32</v>
      </c>
      <c r="I13" s="100">
        <v>0</v>
      </c>
      <c r="J13" s="100">
        <v>0</v>
      </c>
      <c r="K13" s="100">
        <v>0.13400000000000001</v>
      </c>
      <c r="L13" s="100">
        <v>0.59</v>
      </c>
      <c r="M13" s="100">
        <v>0</v>
      </c>
    </row>
    <row r="14" spans="1:13">
      <c r="A14" s="99">
        <v>40097</v>
      </c>
      <c r="B14" s="100">
        <v>5.5970000000000004</v>
      </c>
      <c r="C14" s="100">
        <v>4.1319999999999997</v>
      </c>
      <c r="D14" s="100">
        <v>1.833</v>
      </c>
      <c r="E14" s="100">
        <v>1.7350000000000001</v>
      </c>
      <c r="F14" s="100">
        <v>0</v>
      </c>
      <c r="G14" s="100">
        <v>0</v>
      </c>
      <c r="H14" s="100">
        <v>5.0199999999999996</v>
      </c>
      <c r="I14" s="100">
        <v>0</v>
      </c>
      <c r="J14" s="100">
        <v>0</v>
      </c>
      <c r="K14" s="100">
        <v>0.13400000000000001</v>
      </c>
      <c r="L14" s="100">
        <v>0</v>
      </c>
      <c r="M14" s="100">
        <v>0</v>
      </c>
    </row>
    <row r="15" spans="1:13">
      <c r="A15" s="99">
        <v>40098</v>
      </c>
      <c r="B15" s="100">
        <v>5.4359999999999999</v>
      </c>
      <c r="C15" s="100">
        <v>2.4990000000000001</v>
      </c>
      <c r="D15" s="100">
        <v>1.9419999999999999</v>
      </c>
      <c r="E15" s="100">
        <v>1.58</v>
      </c>
      <c r="F15" s="100">
        <v>0</v>
      </c>
      <c r="G15" s="100">
        <v>0</v>
      </c>
      <c r="H15" s="100">
        <v>3.26</v>
      </c>
      <c r="I15" s="100">
        <v>0</v>
      </c>
      <c r="J15" s="100">
        <v>0</v>
      </c>
      <c r="K15" s="100">
        <v>0.13500000000000001</v>
      </c>
      <c r="L15" s="100">
        <v>0</v>
      </c>
      <c r="M15" s="100">
        <v>0</v>
      </c>
    </row>
    <row r="16" spans="1:13">
      <c r="A16" s="99">
        <v>40099</v>
      </c>
      <c r="B16" s="100">
        <v>5.1319999999999997</v>
      </c>
      <c r="C16" s="100">
        <v>4.141</v>
      </c>
      <c r="D16" s="100">
        <v>1.4339999999999999</v>
      </c>
      <c r="E16" s="100">
        <v>1.2010000000000001</v>
      </c>
      <c r="F16" s="100">
        <v>0</v>
      </c>
      <c r="G16" s="100">
        <v>0</v>
      </c>
      <c r="H16" s="100">
        <v>3.46</v>
      </c>
      <c r="I16" s="100">
        <v>0</v>
      </c>
      <c r="J16" s="100">
        <v>0</v>
      </c>
      <c r="K16" s="100">
        <v>0.13500000000000001</v>
      </c>
      <c r="L16" s="100">
        <v>0</v>
      </c>
      <c r="M16" s="100">
        <v>0</v>
      </c>
    </row>
    <row r="17" spans="1:13">
      <c r="A17" s="99">
        <v>40100</v>
      </c>
      <c r="B17" s="100">
        <v>5.0990000000000002</v>
      </c>
      <c r="C17" s="100">
        <v>4.1349999999999998</v>
      </c>
      <c r="D17" s="100">
        <v>1.5429999999999999</v>
      </c>
      <c r="E17" s="100">
        <v>1.0680000000000001</v>
      </c>
      <c r="F17" s="100">
        <v>0</v>
      </c>
      <c r="G17" s="100">
        <v>0</v>
      </c>
      <c r="H17" s="100">
        <v>2.5499999999999998</v>
      </c>
      <c r="I17" s="100">
        <v>0</v>
      </c>
      <c r="J17" s="100">
        <v>0</v>
      </c>
      <c r="K17" s="100">
        <v>0.13500000000000001</v>
      </c>
      <c r="L17" s="100">
        <v>0</v>
      </c>
      <c r="M17" s="100">
        <v>0</v>
      </c>
    </row>
    <row r="18" spans="1:13">
      <c r="A18" s="99">
        <v>40101</v>
      </c>
      <c r="B18" s="100">
        <v>4.8529999999999998</v>
      </c>
      <c r="C18" s="100">
        <v>4.32</v>
      </c>
      <c r="D18" s="100">
        <v>1.41</v>
      </c>
      <c r="E18" s="100">
        <v>1.034</v>
      </c>
      <c r="F18" s="100">
        <v>0</v>
      </c>
      <c r="G18" s="100">
        <v>0</v>
      </c>
      <c r="H18" s="100">
        <v>2.75</v>
      </c>
      <c r="I18" s="100">
        <v>0</v>
      </c>
      <c r="J18" s="100">
        <v>0</v>
      </c>
      <c r="K18" s="100">
        <v>0.13500000000000001</v>
      </c>
      <c r="L18" s="100">
        <v>0</v>
      </c>
      <c r="M18" s="100">
        <v>0</v>
      </c>
    </row>
    <row r="19" spans="1:13">
      <c r="A19" s="99">
        <v>40102</v>
      </c>
      <c r="B19" s="100">
        <v>4.7359999999999998</v>
      </c>
      <c r="C19" s="100">
        <v>4.2450000000000001</v>
      </c>
      <c r="D19" s="100">
        <v>1.573</v>
      </c>
      <c r="E19" s="100">
        <v>1.024</v>
      </c>
      <c r="F19" s="100">
        <v>0</v>
      </c>
      <c r="G19" s="100">
        <v>0</v>
      </c>
      <c r="H19" s="100">
        <v>2.5099999999999998</v>
      </c>
      <c r="I19" s="100">
        <v>0</v>
      </c>
      <c r="J19" s="100">
        <v>0</v>
      </c>
      <c r="K19" s="100">
        <v>0.13400000000000001</v>
      </c>
      <c r="L19" s="100">
        <v>0</v>
      </c>
      <c r="M19" s="100">
        <v>0</v>
      </c>
    </row>
    <row r="20" spans="1:13">
      <c r="A20" s="99">
        <v>40103</v>
      </c>
      <c r="B20" s="100">
        <v>4.5970000000000004</v>
      </c>
      <c r="C20" s="100">
        <v>4.8810000000000002</v>
      </c>
      <c r="D20" s="100">
        <v>1.2629999999999999</v>
      </c>
      <c r="E20" s="100">
        <v>0.94499999999999995</v>
      </c>
      <c r="F20" s="100">
        <v>0</v>
      </c>
      <c r="G20" s="100">
        <v>0</v>
      </c>
      <c r="H20" s="100">
        <v>2.8</v>
      </c>
      <c r="I20" s="100">
        <v>0</v>
      </c>
      <c r="J20" s="100">
        <v>0</v>
      </c>
      <c r="K20" s="100">
        <v>0.13400000000000001</v>
      </c>
      <c r="L20" s="100">
        <v>0</v>
      </c>
      <c r="M20" s="100">
        <v>0</v>
      </c>
    </row>
    <row r="21" spans="1:13">
      <c r="A21" s="99">
        <v>40104</v>
      </c>
      <c r="B21" s="100">
        <v>4.6589999999999998</v>
      </c>
      <c r="C21" s="100">
        <v>4.633</v>
      </c>
      <c r="D21" s="100">
        <v>1.621</v>
      </c>
      <c r="E21" s="100">
        <v>0.96</v>
      </c>
      <c r="F21" s="100">
        <v>0</v>
      </c>
      <c r="G21" s="100">
        <v>0</v>
      </c>
      <c r="H21" s="100">
        <v>2.25</v>
      </c>
      <c r="I21" s="100">
        <v>0</v>
      </c>
      <c r="J21" s="100">
        <v>0</v>
      </c>
      <c r="K21" s="100">
        <v>0.13400000000000001</v>
      </c>
      <c r="L21" s="100">
        <v>0</v>
      </c>
      <c r="M21" s="100">
        <v>0</v>
      </c>
    </row>
    <row r="22" spans="1:13">
      <c r="A22" s="99">
        <v>40105</v>
      </c>
      <c r="B22" s="100">
        <v>4.9160000000000004</v>
      </c>
      <c r="C22" s="100">
        <v>4.2210000000000001</v>
      </c>
      <c r="D22" s="100">
        <v>1.4570000000000001</v>
      </c>
      <c r="E22" s="100">
        <v>0.94799999999999995</v>
      </c>
      <c r="F22" s="100">
        <v>0</v>
      </c>
      <c r="G22" s="100">
        <v>0</v>
      </c>
      <c r="H22" s="100">
        <v>2.89</v>
      </c>
      <c r="I22" s="100">
        <v>0</v>
      </c>
      <c r="J22" s="100">
        <v>0</v>
      </c>
      <c r="K22" s="100">
        <v>0.13400000000000001</v>
      </c>
      <c r="L22" s="100">
        <v>0</v>
      </c>
      <c r="M22" s="100">
        <v>0</v>
      </c>
    </row>
    <row r="23" spans="1:13">
      <c r="A23" s="99">
        <v>40106</v>
      </c>
      <c r="B23" s="100">
        <v>4.875</v>
      </c>
      <c r="C23" s="100">
        <v>2.1579999999999999</v>
      </c>
      <c r="D23" s="100">
        <v>2.1709999999999998</v>
      </c>
      <c r="E23" s="100">
        <v>0.90600000000000003</v>
      </c>
      <c r="F23" s="100">
        <v>0</v>
      </c>
      <c r="G23" s="100">
        <v>0</v>
      </c>
      <c r="H23" s="100">
        <v>2.59</v>
      </c>
      <c r="I23" s="100">
        <v>0</v>
      </c>
      <c r="J23" s="100">
        <v>0</v>
      </c>
      <c r="K23" s="100">
        <v>0.13400000000000001</v>
      </c>
      <c r="L23" s="100">
        <v>0</v>
      </c>
      <c r="M23" s="100">
        <v>0</v>
      </c>
    </row>
    <row r="24" spans="1:13">
      <c r="A24" s="99">
        <v>40107</v>
      </c>
      <c r="B24" s="100">
        <v>5.78</v>
      </c>
      <c r="C24" s="100">
        <v>3.8540000000000001</v>
      </c>
      <c r="D24" s="100">
        <v>1.7310000000000001</v>
      </c>
      <c r="E24" s="100">
        <v>0.91600000000000004</v>
      </c>
      <c r="F24" s="100">
        <v>0</v>
      </c>
      <c r="G24" s="100">
        <v>0</v>
      </c>
      <c r="H24" s="100">
        <v>2.81</v>
      </c>
      <c r="I24" s="100">
        <v>0</v>
      </c>
      <c r="J24" s="100">
        <v>0</v>
      </c>
      <c r="K24" s="100">
        <v>0.13400000000000001</v>
      </c>
      <c r="L24" s="100">
        <v>0.5</v>
      </c>
      <c r="M24" s="100">
        <v>0</v>
      </c>
    </row>
    <row r="25" spans="1:13">
      <c r="A25" s="99">
        <v>40108</v>
      </c>
      <c r="B25" s="100">
        <v>5.399</v>
      </c>
      <c r="C25" s="100">
        <v>3.0910000000000002</v>
      </c>
      <c r="D25" s="100">
        <v>1.282</v>
      </c>
      <c r="E25" s="100">
        <v>0.44600000000000001</v>
      </c>
      <c r="F25" s="100">
        <v>0</v>
      </c>
      <c r="G25" s="100">
        <v>0</v>
      </c>
      <c r="H25" s="100">
        <v>1.37</v>
      </c>
      <c r="I25" s="100">
        <v>0</v>
      </c>
      <c r="J25" s="100">
        <v>0</v>
      </c>
      <c r="K25" s="100">
        <v>0.13400000000000001</v>
      </c>
      <c r="L25" s="100">
        <v>1.5</v>
      </c>
      <c r="M25" s="100">
        <v>0</v>
      </c>
    </row>
    <row r="26" spans="1:13">
      <c r="A26" s="99">
        <v>40109</v>
      </c>
      <c r="B26" s="100">
        <v>4.9710000000000001</v>
      </c>
      <c r="C26" s="100">
        <v>3.08</v>
      </c>
      <c r="D26" s="100">
        <v>1.335</v>
      </c>
      <c r="E26" s="100">
        <v>0.51200000000000001</v>
      </c>
      <c r="F26" s="100">
        <v>0</v>
      </c>
      <c r="G26" s="100">
        <v>0</v>
      </c>
      <c r="H26" s="100">
        <v>1.57</v>
      </c>
      <c r="I26" s="100">
        <v>0</v>
      </c>
      <c r="J26" s="100">
        <v>0</v>
      </c>
      <c r="K26" s="100">
        <v>0.13400000000000001</v>
      </c>
      <c r="L26" s="100">
        <v>0.5</v>
      </c>
      <c r="M26" s="100">
        <v>0</v>
      </c>
    </row>
    <row r="27" spans="1:13">
      <c r="A27" s="99">
        <v>40110</v>
      </c>
      <c r="B27" s="100">
        <v>4.8609999999999998</v>
      </c>
      <c r="C27" s="100">
        <v>3.9449999999999998</v>
      </c>
      <c r="D27" s="100">
        <v>0.72799999999999998</v>
      </c>
      <c r="E27" s="100">
        <v>0.94799999999999995</v>
      </c>
      <c r="F27" s="100">
        <v>0</v>
      </c>
      <c r="G27" s="100">
        <v>0</v>
      </c>
      <c r="H27" s="100">
        <v>2.38</v>
      </c>
      <c r="I27" s="100">
        <v>0</v>
      </c>
      <c r="J27" s="100">
        <v>0</v>
      </c>
      <c r="K27" s="100">
        <v>0.13400000000000001</v>
      </c>
      <c r="L27" s="100">
        <v>0</v>
      </c>
      <c r="M27" s="100">
        <v>0</v>
      </c>
    </row>
    <row r="28" spans="1:13">
      <c r="A28" s="99">
        <v>40111</v>
      </c>
      <c r="B28" s="100">
        <v>5.33</v>
      </c>
      <c r="C28" s="100">
        <v>4.0380000000000003</v>
      </c>
      <c r="D28" s="100">
        <v>1.0880000000000001</v>
      </c>
      <c r="E28" s="100">
        <v>0.93500000000000005</v>
      </c>
      <c r="F28" s="100">
        <v>0</v>
      </c>
      <c r="G28" s="100">
        <v>0</v>
      </c>
      <c r="H28" s="100">
        <v>1.3</v>
      </c>
      <c r="I28" s="100">
        <v>0</v>
      </c>
      <c r="J28" s="100">
        <v>0</v>
      </c>
      <c r="K28" s="100">
        <v>0.13400000000000001</v>
      </c>
      <c r="L28" s="100">
        <v>0</v>
      </c>
      <c r="M28" s="100">
        <v>0</v>
      </c>
    </row>
    <row r="29" spans="1:13">
      <c r="A29" s="99">
        <v>40112</v>
      </c>
      <c r="B29" s="100">
        <v>5.41</v>
      </c>
      <c r="C29" s="100">
        <v>3.9590000000000001</v>
      </c>
      <c r="D29" s="100">
        <v>2.3450000000000002</v>
      </c>
      <c r="E29" s="100">
        <v>0.433</v>
      </c>
      <c r="F29" s="100">
        <v>0</v>
      </c>
      <c r="G29" s="100">
        <v>0</v>
      </c>
      <c r="H29" s="100">
        <v>1.33</v>
      </c>
      <c r="I29" s="100">
        <v>0</v>
      </c>
      <c r="J29" s="100">
        <v>0</v>
      </c>
      <c r="K29" s="100">
        <v>0.13500000000000001</v>
      </c>
      <c r="L29" s="100">
        <v>0.5</v>
      </c>
      <c r="M29" s="100">
        <v>0</v>
      </c>
    </row>
    <row r="30" spans="1:13">
      <c r="A30" s="99">
        <v>40113</v>
      </c>
      <c r="B30" s="100">
        <v>5.0990000000000002</v>
      </c>
      <c r="C30" s="100">
        <v>1.819</v>
      </c>
      <c r="D30" s="100">
        <v>1.9990000000000001</v>
      </c>
      <c r="E30" s="100">
        <v>0</v>
      </c>
      <c r="F30" s="100">
        <v>0</v>
      </c>
      <c r="G30" s="100">
        <v>0</v>
      </c>
      <c r="H30" s="100">
        <v>0</v>
      </c>
      <c r="I30" s="100">
        <v>0</v>
      </c>
      <c r="J30" s="100">
        <v>0</v>
      </c>
      <c r="K30" s="100">
        <v>0.13500000000000001</v>
      </c>
      <c r="L30" s="100">
        <v>0.21</v>
      </c>
      <c r="M30" s="100">
        <v>0</v>
      </c>
    </row>
    <row r="31" spans="1:13">
      <c r="A31" s="99">
        <v>40114</v>
      </c>
      <c r="B31" s="100">
        <v>5.85</v>
      </c>
      <c r="C31" s="100">
        <v>3.7890000000000001</v>
      </c>
      <c r="D31" s="100">
        <v>0.79500000000000004</v>
      </c>
      <c r="E31" s="100">
        <v>0.54400000000000004</v>
      </c>
      <c r="F31" s="100">
        <v>0</v>
      </c>
      <c r="G31" s="100">
        <v>0</v>
      </c>
      <c r="H31" s="100">
        <v>1.67</v>
      </c>
      <c r="I31" s="100">
        <v>0</v>
      </c>
      <c r="J31" s="100">
        <v>0</v>
      </c>
      <c r="K31" s="100">
        <v>1.64</v>
      </c>
      <c r="L31" s="100">
        <v>1.5</v>
      </c>
      <c r="M31" s="100">
        <v>0</v>
      </c>
    </row>
    <row r="32" spans="1:13">
      <c r="A32" s="99">
        <v>40115</v>
      </c>
      <c r="B32" s="100">
        <v>5.9630000000000001</v>
      </c>
      <c r="C32" s="100">
        <v>2.552</v>
      </c>
      <c r="D32" s="100">
        <v>0</v>
      </c>
      <c r="E32" s="100">
        <v>0</v>
      </c>
      <c r="F32" s="100">
        <v>0</v>
      </c>
      <c r="G32" s="100">
        <v>0</v>
      </c>
      <c r="H32" s="100">
        <v>0</v>
      </c>
      <c r="I32" s="100">
        <v>0</v>
      </c>
      <c r="J32" s="100">
        <v>0</v>
      </c>
      <c r="K32" s="100">
        <v>0.14000000000000001</v>
      </c>
      <c r="L32" s="100">
        <v>0</v>
      </c>
      <c r="M32" s="100">
        <v>0</v>
      </c>
    </row>
    <row r="33" spans="1:13">
      <c r="A33" s="99">
        <v>40116</v>
      </c>
      <c r="B33" s="100">
        <v>6.0439999999999996</v>
      </c>
      <c r="C33" s="100">
        <v>2.137</v>
      </c>
      <c r="D33" s="100">
        <v>0.69199999999999995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0">
        <v>0.13500000000000001</v>
      </c>
      <c r="L33" s="100">
        <v>0</v>
      </c>
      <c r="M33" s="100">
        <v>0</v>
      </c>
    </row>
    <row r="34" spans="1:13">
      <c r="A34" s="99">
        <v>40117</v>
      </c>
      <c r="B34" s="100">
        <v>5.5570000000000004</v>
      </c>
      <c r="C34" s="100">
        <v>3.875</v>
      </c>
      <c r="D34" s="100">
        <v>0.82099999999999995</v>
      </c>
      <c r="E34" s="100">
        <v>0</v>
      </c>
      <c r="F34" s="100">
        <v>0</v>
      </c>
      <c r="G34" s="100">
        <v>0</v>
      </c>
      <c r="H34" s="100">
        <v>0</v>
      </c>
      <c r="I34" s="100">
        <v>0</v>
      </c>
      <c r="J34" s="100">
        <v>0</v>
      </c>
      <c r="K34" s="100">
        <v>0.13500000000000001</v>
      </c>
      <c r="L34" s="100">
        <v>0</v>
      </c>
      <c r="M34" s="100">
        <v>0</v>
      </c>
    </row>
    <row r="36" spans="1:13">
      <c r="A36" s="2"/>
      <c r="C36" s="2"/>
    </row>
    <row r="37" spans="1:13">
      <c r="A37" s="2"/>
      <c r="C37" s="2"/>
    </row>
    <row r="38" spans="1:13">
      <c r="A38" s="2"/>
      <c r="C38" s="2"/>
    </row>
    <row r="39" spans="1:13">
      <c r="A39" s="2"/>
      <c r="C39" s="2"/>
    </row>
    <row r="40" spans="1:13">
      <c r="A40" s="2"/>
      <c r="C40" s="2"/>
    </row>
    <row r="41" spans="1:13">
      <c r="A41" s="2"/>
      <c r="C41" s="2"/>
    </row>
    <row r="42" spans="1:13">
      <c r="A42" s="2"/>
      <c r="C42" s="2"/>
    </row>
    <row r="43" spans="1:13">
      <c r="A43" s="2"/>
      <c r="C43" s="2"/>
    </row>
    <row r="44" spans="1:13">
      <c r="A44" s="2"/>
      <c r="C44" s="2"/>
    </row>
    <row r="45" spans="1:13">
      <c r="A45" s="2"/>
      <c r="C45" s="2"/>
    </row>
    <row r="46" spans="1:13">
      <c r="A46" s="2"/>
      <c r="C46" s="2"/>
    </row>
    <row r="47" spans="1:13">
      <c r="A47" s="2"/>
      <c r="C47" s="2"/>
    </row>
    <row r="48" spans="1:13">
      <c r="A48" s="2"/>
      <c r="C48" s="2"/>
    </row>
    <row r="49" spans="1:3">
      <c r="A49" s="2"/>
      <c r="C49" s="2"/>
    </row>
    <row r="50" spans="1:3">
      <c r="A50" s="2"/>
      <c r="C50" s="2"/>
    </row>
    <row r="51" spans="1:3">
      <c r="A51" s="2"/>
      <c r="C51" s="2"/>
    </row>
    <row r="52" spans="1:3">
      <c r="A52" s="2"/>
      <c r="C52" s="2"/>
    </row>
    <row r="53" spans="1:3">
      <c r="A53" s="2"/>
      <c r="C53" s="2"/>
    </row>
    <row r="54" spans="1:3">
      <c r="A54" s="2"/>
      <c r="C54" s="2"/>
    </row>
    <row r="55" spans="1:3">
      <c r="A55" s="2"/>
      <c r="C55" s="2"/>
    </row>
    <row r="56" spans="1:3">
      <c r="A56" s="2"/>
      <c r="C56" s="2"/>
    </row>
    <row r="57" spans="1:3">
      <c r="A57" s="2"/>
      <c r="C57" s="2"/>
    </row>
    <row r="58" spans="1:3">
      <c r="A58" s="2"/>
      <c r="C58" s="2"/>
    </row>
    <row r="59" spans="1:3">
      <c r="A59" s="2"/>
      <c r="C59" s="2"/>
    </row>
    <row r="60" spans="1:3">
      <c r="A60" s="2"/>
      <c r="C60" s="2"/>
    </row>
    <row r="61" spans="1:3">
      <c r="A61" s="2"/>
      <c r="C61" s="2"/>
    </row>
    <row r="62" spans="1:3">
      <c r="A62" s="2"/>
      <c r="C62" s="2"/>
    </row>
    <row r="63" spans="1:3">
      <c r="A63" s="2"/>
      <c r="C63" s="2"/>
    </row>
    <row r="64" spans="1:3">
      <c r="A64" s="2"/>
      <c r="C64" s="2"/>
    </row>
    <row r="65" spans="1:3">
      <c r="A65" s="2"/>
      <c r="C65" s="2"/>
    </row>
    <row r="66" spans="1:3">
      <c r="A66" s="2"/>
      <c r="C66" s="2"/>
    </row>
    <row r="67" spans="1:3">
      <c r="A67" s="2"/>
      <c r="C67" s="2"/>
    </row>
    <row r="68" spans="1:3">
      <c r="A68" s="2"/>
      <c r="C68" s="2"/>
    </row>
    <row r="69" spans="1:3">
      <c r="A69" s="2"/>
      <c r="C69" s="2"/>
    </row>
    <row r="70" spans="1:3">
      <c r="A70" s="2"/>
      <c r="C70" s="2"/>
    </row>
    <row r="71" spans="1:3">
      <c r="A71" s="2"/>
      <c r="C71" s="2"/>
    </row>
    <row r="72" spans="1:3">
      <c r="A72" s="2"/>
      <c r="C72" s="2"/>
    </row>
    <row r="73" spans="1:3">
      <c r="A73" s="2"/>
      <c r="C73" s="2"/>
    </row>
    <row r="74" spans="1:3">
      <c r="A74" s="2"/>
      <c r="C74" s="2"/>
    </row>
    <row r="75" spans="1:3">
      <c r="A75" s="2"/>
      <c r="C75" s="2"/>
    </row>
    <row r="76" spans="1:3">
      <c r="A76" s="2"/>
      <c r="C76" s="2"/>
    </row>
    <row r="77" spans="1:3">
      <c r="A77" s="2"/>
      <c r="C77" s="2"/>
    </row>
    <row r="78" spans="1:3">
      <c r="A78" s="2"/>
      <c r="C78" s="2"/>
    </row>
    <row r="79" spans="1:3">
      <c r="A79" s="2"/>
      <c r="C79" s="2"/>
    </row>
    <row r="80" spans="1:3">
      <c r="A80" s="2"/>
      <c r="C80" s="2"/>
    </row>
    <row r="81" spans="1:3">
      <c r="A81" s="2"/>
      <c r="C81" s="2"/>
    </row>
    <row r="82" spans="1:3">
      <c r="A82" s="2"/>
      <c r="C82" s="2"/>
    </row>
    <row r="83" spans="1:3">
      <c r="A83" s="2"/>
      <c r="C83" s="2"/>
    </row>
    <row r="84" spans="1:3">
      <c r="A84" s="2"/>
      <c r="C84" s="2"/>
    </row>
    <row r="85" spans="1:3">
      <c r="A85" s="2"/>
      <c r="C85" s="2"/>
    </row>
    <row r="86" spans="1:3">
      <c r="A86" s="2"/>
      <c r="C86" s="2"/>
    </row>
    <row r="87" spans="1:3">
      <c r="A87" s="2"/>
      <c r="C87" s="2"/>
    </row>
    <row r="88" spans="1:3">
      <c r="A88" s="2"/>
      <c r="C88" s="2"/>
    </row>
    <row r="89" spans="1:3">
      <c r="A89" s="2"/>
      <c r="C89" s="2"/>
    </row>
    <row r="90" spans="1:3">
      <c r="A90" s="2"/>
      <c r="C90" s="2"/>
    </row>
    <row r="91" spans="1:3">
      <c r="A91" s="2"/>
      <c r="C91" s="2"/>
    </row>
    <row r="92" spans="1:3">
      <c r="A92" s="2"/>
      <c r="C92" s="2"/>
    </row>
    <row r="93" spans="1:3">
      <c r="A93" s="2"/>
      <c r="C93" s="2"/>
    </row>
    <row r="94" spans="1:3">
      <c r="A94" s="2"/>
      <c r="C94" s="2"/>
    </row>
    <row r="95" spans="1:3">
      <c r="A95" s="2"/>
      <c r="C95" s="2"/>
    </row>
    <row r="96" spans="1:3">
      <c r="A96" s="2"/>
      <c r="C96" s="2"/>
    </row>
    <row r="97" spans="1:3">
      <c r="A97" s="2"/>
      <c r="C97" s="2"/>
    </row>
    <row r="98" spans="1:3">
      <c r="A98" s="2"/>
      <c r="C98" s="2"/>
    </row>
    <row r="99" spans="1:3">
      <c r="A99" s="2"/>
      <c r="C99" s="2"/>
    </row>
    <row r="100" spans="1:3">
      <c r="A100" s="2"/>
      <c r="C100" s="2"/>
    </row>
    <row r="101" spans="1:3">
      <c r="A101" s="2"/>
      <c r="C101" s="2"/>
    </row>
    <row r="102" spans="1:3">
      <c r="A102" s="2"/>
      <c r="C102" s="2"/>
    </row>
    <row r="103" spans="1:3">
      <c r="A103" s="2"/>
      <c r="C103" s="2"/>
    </row>
    <row r="104" spans="1:3">
      <c r="A104" s="2"/>
      <c r="C104" s="2"/>
    </row>
    <row r="105" spans="1:3">
      <c r="A105" s="2"/>
      <c r="C105" s="2"/>
    </row>
    <row r="106" spans="1:3">
      <c r="A106" s="2"/>
      <c r="C106" s="2"/>
    </row>
    <row r="107" spans="1:3">
      <c r="A107" s="2"/>
      <c r="C107" s="2"/>
    </row>
    <row r="108" spans="1:3">
      <c r="A108" s="2"/>
      <c r="C108" s="2"/>
    </row>
    <row r="109" spans="1:3">
      <c r="A109" s="2"/>
      <c r="C109" s="2"/>
    </row>
    <row r="110" spans="1:3">
      <c r="A110" s="2"/>
      <c r="C110" s="2"/>
    </row>
    <row r="111" spans="1:3">
      <c r="A111" s="2"/>
      <c r="C111" s="2"/>
    </row>
    <row r="112" spans="1:3">
      <c r="A112" s="2"/>
      <c r="C112" s="2"/>
    </row>
    <row r="113" spans="1:3">
      <c r="A113" s="2"/>
      <c r="C113" s="2"/>
    </row>
    <row r="114" spans="1:3">
      <c r="A114" s="2"/>
      <c r="C114" s="2"/>
    </row>
    <row r="115" spans="1:3">
      <c r="A115" s="2"/>
      <c r="C115" s="2"/>
    </row>
    <row r="116" spans="1:3">
      <c r="A116" s="2"/>
      <c r="C116" s="2"/>
    </row>
    <row r="117" spans="1:3">
      <c r="A117" s="2"/>
      <c r="C117" s="2"/>
    </row>
    <row r="118" spans="1:3">
      <c r="A118" s="2"/>
      <c r="C118" s="2"/>
    </row>
    <row r="119" spans="1:3">
      <c r="A119" s="2"/>
      <c r="C119" s="2"/>
    </row>
    <row r="120" spans="1:3">
      <c r="A120" s="2"/>
      <c r="C120" s="2"/>
    </row>
    <row r="121" spans="1:3">
      <c r="A121" s="2"/>
      <c r="C121" s="2"/>
    </row>
    <row r="122" spans="1:3">
      <c r="A122" s="2"/>
      <c r="C122" s="2"/>
    </row>
    <row r="123" spans="1:3">
      <c r="A123" s="2"/>
      <c r="C123" s="2"/>
    </row>
    <row r="124" spans="1:3">
      <c r="A124" s="2"/>
      <c r="C124" s="2"/>
    </row>
    <row r="125" spans="1:3">
      <c r="A125" s="2"/>
      <c r="C125" s="2"/>
    </row>
    <row r="126" spans="1:3">
      <c r="A126" s="2"/>
      <c r="C126" s="2"/>
    </row>
    <row r="127" spans="1:3">
      <c r="A127" s="2"/>
      <c r="C127" s="2"/>
    </row>
    <row r="128" spans="1:3">
      <c r="A128" s="2"/>
      <c r="C128" s="2"/>
    </row>
    <row r="129" spans="1:3">
      <c r="A129" s="2"/>
      <c r="C129" s="2"/>
    </row>
    <row r="130" spans="1:3">
      <c r="A130" s="2"/>
      <c r="C130" s="2"/>
    </row>
    <row r="131" spans="1:3">
      <c r="A131" s="2"/>
      <c r="C131" s="2"/>
    </row>
    <row r="132" spans="1:3">
      <c r="A132" s="2"/>
      <c r="C132" s="2"/>
    </row>
    <row r="133" spans="1:3">
      <c r="A133" s="2"/>
      <c r="C133" s="2"/>
    </row>
    <row r="134" spans="1:3">
      <c r="A134" s="2"/>
      <c r="C134" s="2"/>
    </row>
    <row r="135" spans="1:3">
      <c r="A135" s="2"/>
      <c r="C135" s="2"/>
    </row>
    <row r="136" spans="1:3">
      <c r="A136" s="2"/>
      <c r="C136" s="2"/>
    </row>
    <row r="137" spans="1:3">
      <c r="A137" s="2"/>
      <c r="C137" s="2"/>
    </row>
    <row r="138" spans="1:3">
      <c r="A138" s="2"/>
      <c r="C138" s="2"/>
    </row>
    <row r="139" spans="1:3">
      <c r="A139" s="2"/>
      <c r="C139" s="2"/>
    </row>
    <row r="140" spans="1:3">
      <c r="A140" s="2"/>
      <c r="C140" s="2"/>
    </row>
    <row r="141" spans="1:3">
      <c r="A141" s="2"/>
      <c r="C141" s="2"/>
    </row>
    <row r="142" spans="1:3">
      <c r="A142" s="2"/>
      <c r="C142" s="2"/>
    </row>
    <row r="143" spans="1:3">
      <c r="A143" s="2"/>
      <c r="C143" s="2"/>
    </row>
    <row r="144" spans="1:3">
      <c r="A144" s="2"/>
      <c r="C144" s="2"/>
    </row>
    <row r="145" spans="1:3">
      <c r="A145" s="2"/>
      <c r="C145" s="2"/>
    </row>
    <row r="146" spans="1:3">
      <c r="A146" s="2"/>
      <c r="C146" s="2"/>
    </row>
    <row r="147" spans="1:3">
      <c r="A147" s="2"/>
      <c r="C147" s="2"/>
    </row>
    <row r="148" spans="1:3">
      <c r="A148" s="2"/>
      <c r="C148" s="2"/>
    </row>
    <row r="149" spans="1:3">
      <c r="A149" s="2"/>
      <c r="C149" s="2"/>
    </row>
    <row r="150" spans="1:3">
      <c r="A150" s="2"/>
      <c r="C150" s="2"/>
    </row>
    <row r="151" spans="1:3">
      <c r="A151" s="2"/>
      <c r="C151" s="2"/>
    </row>
    <row r="152" spans="1:3">
      <c r="A152" s="2"/>
      <c r="C152" s="2"/>
    </row>
    <row r="153" spans="1:3">
      <c r="A153" s="2"/>
      <c r="C153" s="2"/>
    </row>
    <row r="154" spans="1:3">
      <c r="A154" s="2"/>
      <c r="C154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B3:DE200"/>
  <sheetViews>
    <sheetView workbookViewId="0">
      <selection activeCell="B3" sqref="B3"/>
    </sheetView>
  </sheetViews>
  <sheetFormatPr defaultRowHeight="14.4"/>
  <cols>
    <col min="2" max="2" width="10.5546875" customWidth="1"/>
    <col min="3" max="3" width="7" customWidth="1"/>
    <col min="4" max="4" width="5.6640625" customWidth="1"/>
    <col min="5" max="5" width="13.33203125" customWidth="1"/>
    <col min="6" max="6" width="22.6640625" customWidth="1"/>
    <col min="7" max="7" width="12.44140625" customWidth="1"/>
    <col min="8" max="8" width="47.88671875" customWidth="1"/>
    <col min="9" max="9" width="12.6640625" customWidth="1"/>
    <col min="10" max="10" width="8.88671875" customWidth="1"/>
    <col min="11" max="11" width="40" customWidth="1"/>
    <col min="12" max="12" width="11.6640625" customWidth="1"/>
    <col min="13" max="13" width="14" customWidth="1"/>
    <col min="14" max="14" width="33.109375" customWidth="1"/>
    <col min="15" max="15" width="11.44140625" customWidth="1"/>
    <col min="16" max="16" width="13.88671875" customWidth="1"/>
    <col min="17" max="17" width="10.6640625" customWidth="1"/>
    <col min="18" max="18" width="9.44140625" customWidth="1"/>
    <col min="19" max="19" width="10.6640625" customWidth="1"/>
    <col min="20" max="20" width="11.44140625" customWidth="1"/>
    <col min="21" max="21" width="8.44140625" customWidth="1"/>
    <col min="22" max="22" width="12" customWidth="1"/>
    <col min="23" max="23" width="26.109375" customWidth="1"/>
    <col min="24" max="24" width="12.6640625" customWidth="1"/>
    <col min="25" max="25" width="27.5546875" customWidth="1"/>
    <col min="26" max="26" width="36.33203125" customWidth="1"/>
    <col min="27" max="27" width="27.5546875" customWidth="1"/>
    <col min="28" max="28" width="7" customWidth="1"/>
    <col min="29" max="29" width="27.5546875" customWidth="1"/>
    <col min="30" max="30" width="10.5546875" customWidth="1"/>
    <col min="31" max="31" width="11.5546875" customWidth="1"/>
    <col min="32" max="32" width="70.88671875" customWidth="1"/>
    <col min="33" max="33" width="16.33203125" customWidth="1"/>
    <col min="34" max="34" width="10.33203125" customWidth="1"/>
    <col min="35" max="35" width="15.109375" customWidth="1"/>
    <col min="36" max="36" width="10.109375" customWidth="1"/>
    <col min="37" max="37" width="18.6640625" customWidth="1"/>
    <col min="38" max="38" width="10.33203125" customWidth="1"/>
    <col min="39" max="39" width="13" customWidth="1"/>
    <col min="40" max="40" width="13.88671875" customWidth="1"/>
    <col min="41" max="41" width="20" customWidth="1"/>
    <col min="42" max="42" width="9.44140625" customWidth="1"/>
    <col min="43" max="43" width="12.6640625" customWidth="1"/>
    <col min="44" max="44" width="8.33203125" customWidth="1"/>
    <col min="45" max="45" width="10.33203125" customWidth="1"/>
    <col min="46" max="46" width="6.6640625" customWidth="1"/>
    <col min="47" max="47" width="8.109375" customWidth="1"/>
    <col min="48" max="48" width="18" customWidth="1"/>
    <col min="49" max="49" width="9.44140625" customWidth="1"/>
    <col min="50" max="50" width="21.88671875" customWidth="1"/>
    <col min="51" max="51" width="29.6640625" customWidth="1"/>
    <col min="52" max="52" width="31.88671875" customWidth="1"/>
    <col min="53" max="53" width="9.33203125" customWidth="1"/>
    <col min="54" max="54" width="13.6640625" customWidth="1"/>
    <col min="55" max="56" width="39.5546875" customWidth="1"/>
    <col min="57" max="57" width="12.109375" customWidth="1"/>
    <col min="58" max="58" width="9.44140625" customWidth="1"/>
    <col min="59" max="59" width="23.88671875" customWidth="1"/>
    <col min="60" max="60" width="16.6640625" customWidth="1"/>
    <col min="61" max="61" width="24" customWidth="1"/>
    <col min="62" max="62" width="9.44140625" customWidth="1"/>
    <col min="63" max="63" width="18.33203125" customWidth="1"/>
    <col min="64" max="64" width="11.109375" customWidth="1"/>
    <col min="65" max="65" width="35.5546875" customWidth="1"/>
    <col min="66" max="66" width="9.44140625" customWidth="1"/>
    <col min="67" max="67" width="10.5546875" customWidth="1"/>
    <col min="68" max="68" width="11.6640625" customWidth="1"/>
    <col min="69" max="69" width="7" customWidth="1"/>
    <col min="70" max="70" width="16.6640625" customWidth="1"/>
    <col min="71" max="71" width="24" customWidth="1"/>
    <col min="72" max="72" width="35.5546875" customWidth="1"/>
    <col min="73" max="73" width="18.33203125" customWidth="1"/>
    <col min="74" max="74" width="12.33203125" customWidth="1"/>
    <col min="75" max="75" width="24.88671875" customWidth="1"/>
    <col min="76" max="76" width="10.109375" customWidth="1"/>
    <col min="77" max="77" width="25.109375" customWidth="1"/>
    <col min="78" max="78" width="18.6640625" customWidth="1"/>
    <col min="79" max="79" width="16.6640625" customWidth="1"/>
    <col min="80" max="80" width="9.33203125" customWidth="1"/>
    <col min="81" max="81" width="14.6640625" customWidth="1"/>
    <col min="82" max="82" width="12.5546875" customWidth="1"/>
    <col min="83" max="83" width="16.6640625" customWidth="1"/>
    <col min="84" max="84" width="8.6640625" customWidth="1"/>
    <col min="85" max="85" width="10.109375" customWidth="1"/>
    <col min="86" max="86" width="9.5546875" customWidth="1"/>
    <col min="87" max="87" width="70.6640625" customWidth="1"/>
    <col min="88" max="88" width="11" customWidth="1"/>
    <col min="89" max="89" width="9.33203125" customWidth="1"/>
    <col min="90" max="90" width="13.6640625" customWidth="1"/>
    <col min="91" max="92" width="38.44140625" customWidth="1"/>
    <col min="93" max="93" width="12.109375" customWidth="1"/>
    <col min="94" max="94" width="17" customWidth="1"/>
    <col min="95" max="95" width="7.5546875" customWidth="1"/>
    <col min="96" max="96" width="14.109375" customWidth="1"/>
    <col min="97" max="97" width="18.5546875" customWidth="1"/>
    <col min="98" max="98" width="9.44140625" customWidth="1"/>
    <col min="99" max="99" width="48.33203125" customWidth="1"/>
    <col min="100" max="100" width="14.5546875" customWidth="1"/>
    <col min="101" max="101" width="28.5546875" customWidth="1"/>
    <col min="102" max="102" width="9.44140625" customWidth="1"/>
    <col min="103" max="103" width="16.33203125" customWidth="1"/>
    <col min="104" max="104" width="40.88671875" customWidth="1"/>
    <col min="105" max="106" width="60.109375" customWidth="1"/>
    <col min="107" max="107" width="8.44140625" customWidth="1"/>
    <col min="108" max="108" width="9" customWidth="1"/>
    <col min="109" max="109" width="11.109375" customWidth="1"/>
  </cols>
  <sheetData>
    <row r="3" spans="2:109">
      <c r="B3" s="5">
        <f>start_date</f>
        <v>40087</v>
      </c>
    </row>
    <row r="7" spans="2:109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R7" s="2"/>
      <c r="AS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D7" s="2"/>
      <c r="CE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E7" s="2"/>
    </row>
    <row r="8" spans="2:109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R8" s="2"/>
      <c r="AS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D8" s="2"/>
      <c r="CE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E8" s="2"/>
    </row>
    <row r="9" spans="2:109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R9" s="2"/>
      <c r="AS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D9" s="2"/>
      <c r="CE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E9" s="2"/>
    </row>
    <row r="10" spans="2:109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R10" s="2"/>
      <c r="AS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D10" s="2"/>
      <c r="CE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E10" s="2"/>
    </row>
    <row r="11" spans="2:109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R11" s="2"/>
      <c r="AS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D11" s="2"/>
      <c r="CE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E11" s="2"/>
    </row>
    <row r="12" spans="2:109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R12" s="2"/>
      <c r="AS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D12" s="2"/>
      <c r="CE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E12" s="2"/>
    </row>
    <row r="13" spans="2:109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R13" s="2"/>
      <c r="AS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D13" s="2"/>
      <c r="CE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E13" s="2"/>
    </row>
    <row r="14" spans="2:109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R14" s="2"/>
      <c r="AS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D14" s="2"/>
      <c r="CE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E14" s="2"/>
    </row>
    <row r="15" spans="2:109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R15" s="2"/>
      <c r="AS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D15" s="2"/>
      <c r="CE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E15" s="2"/>
    </row>
    <row r="16" spans="2:109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R16" s="2"/>
      <c r="AS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D16" s="2"/>
      <c r="CE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E16" s="2"/>
    </row>
    <row r="17" spans="2:109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R17" s="2"/>
      <c r="AS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D17" s="2"/>
      <c r="CE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E17" s="2"/>
    </row>
    <row r="18" spans="2:109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R18" s="2"/>
      <c r="AS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D18" s="2"/>
      <c r="CE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E18" s="2"/>
    </row>
    <row r="19" spans="2:109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R19" s="2"/>
      <c r="AS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D19" s="2"/>
      <c r="CE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E19" s="2"/>
    </row>
    <row r="20" spans="2:109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R20" s="2"/>
      <c r="AS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D20" s="2"/>
      <c r="CE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E20" s="2"/>
    </row>
    <row r="21" spans="2:109">
      <c r="B21" s="2"/>
      <c r="C21" s="2"/>
      <c r="D21" s="2"/>
      <c r="E21" s="2"/>
      <c r="F21" s="2"/>
      <c r="G21" s="2"/>
      <c r="H21" s="2"/>
      <c r="I21" s="2"/>
      <c r="J21" s="2"/>
      <c r="K21" s="2"/>
      <c r="L21" s="3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R21" s="2"/>
      <c r="AS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D21" s="2"/>
      <c r="CE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E21" s="2"/>
    </row>
    <row r="22" spans="2:109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R22" s="2"/>
      <c r="AS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D22" s="2"/>
      <c r="CE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E22" s="2"/>
    </row>
    <row r="23" spans="2:109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R23" s="2"/>
      <c r="AS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D23" s="2"/>
      <c r="CE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E23" s="2"/>
    </row>
    <row r="24" spans="2:109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R24" s="2"/>
      <c r="AS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D24" s="2"/>
      <c r="CE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E24" s="2"/>
    </row>
    <row r="25" spans="2:109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R25" s="2"/>
      <c r="AS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D25" s="2"/>
      <c r="CE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E25" s="2"/>
    </row>
    <row r="26" spans="2:109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R26" s="2"/>
      <c r="AS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D26" s="2"/>
      <c r="CE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E26" s="2"/>
    </row>
    <row r="27" spans="2:109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R27" s="2"/>
      <c r="AS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D27" s="2"/>
      <c r="CE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E27" s="2"/>
    </row>
    <row r="28" spans="2:109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R28" s="2"/>
      <c r="AS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D28" s="2"/>
      <c r="CE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E28" s="2"/>
    </row>
    <row r="29" spans="2:109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R29" s="2"/>
      <c r="AS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D29" s="2"/>
      <c r="CE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E29" s="2"/>
    </row>
    <row r="30" spans="2:109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R30" s="2"/>
      <c r="AS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D30" s="2"/>
      <c r="CE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E30" s="2"/>
    </row>
    <row r="31" spans="2:109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R31" s="2"/>
      <c r="AS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D31" s="2"/>
      <c r="CE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E31" s="2"/>
    </row>
    <row r="32" spans="2:109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R32" s="2"/>
      <c r="AS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D32" s="2"/>
      <c r="CE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E32" s="2"/>
    </row>
    <row r="33" spans="2:109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R33" s="2"/>
      <c r="AS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D33" s="2"/>
      <c r="CE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E33" s="2"/>
    </row>
    <row r="34" spans="2:109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R34" s="2"/>
      <c r="AS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D34" s="2"/>
      <c r="CE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E34" s="2"/>
    </row>
    <row r="35" spans="2:109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R35" s="2"/>
      <c r="AS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D35" s="2"/>
      <c r="CE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E35" s="2"/>
    </row>
    <row r="36" spans="2:109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R36" s="2"/>
      <c r="AS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D36" s="2"/>
      <c r="CE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E36" s="2"/>
    </row>
    <row r="37" spans="2:109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R37" s="2"/>
      <c r="AS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D37" s="2"/>
      <c r="CE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E37" s="2"/>
    </row>
    <row r="38" spans="2:109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R38" s="2"/>
      <c r="AS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D38" s="2"/>
      <c r="CE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E38" s="2"/>
    </row>
    <row r="39" spans="2:109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R39" s="2"/>
      <c r="AS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D39" s="2"/>
      <c r="CE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E39" s="2"/>
    </row>
    <row r="40" spans="2:109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R40" s="2"/>
      <c r="AS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D40" s="2"/>
      <c r="CE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E40" s="2"/>
    </row>
    <row r="41" spans="2:109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R41" s="2"/>
      <c r="AS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D41" s="2"/>
      <c r="CE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E41" s="2"/>
    </row>
    <row r="42" spans="2:109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R42" s="2"/>
      <c r="AS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D42" s="2"/>
      <c r="CE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E42" s="2"/>
    </row>
    <row r="43" spans="2:109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R43" s="2"/>
      <c r="AS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D43" s="2"/>
      <c r="CE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E43" s="2"/>
    </row>
    <row r="44" spans="2:109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R44" s="2"/>
      <c r="AS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D44" s="2"/>
      <c r="CE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E44" s="2"/>
    </row>
    <row r="45" spans="2:109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R45" s="2"/>
      <c r="AS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D45" s="2"/>
      <c r="CE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E45" s="2"/>
    </row>
    <row r="46" spans="2:109"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R46" s="2"/>
      <c r="AS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D46" s="2"/>
      <c r="CE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E46" s="2"/>
    </row>
    <row r="47" spans="2:109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R47" s="2"/>
      <c r="AS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D47" s="2"/>
      <c r="CE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E47" s="2"/>
    </row>
    <row r="48" spans="2:109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R48" s="2"/>
      <c r="AS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D48" s="2"/>
      <c r="CE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E48" s="2"/>
    </row>
    <row r="49" spans="2:109"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R49" s="2"/>
      <c r="AS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D49" s="2"/>
      <c r="CE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E49" s="2"/>
    </row>
    <row r="50" spans="2:109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R50" s="2"/>
      <c r="AS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D50" s="2"/>
      <c r="CE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E50" s="2"/>
    </row>
    <row r="51" spans="2:109"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R51" s="2"/>
      <c r="AS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D51" s="2"/>
      <c r="CE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E51" s="2"/>
    </row>
    <row r="52" spans="2:109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R52" s="2"/>
      <c r="AS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D52" s="2"/>
      <c r="CE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E52" s="2"/>
    </row>
    <row r="53" spans="2:109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R53" s="2"/>
      <c r="AS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D53" s="2"/>
      <c r="CE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E53" s="2"/>
    </row>
    <row r="54" spans="2:109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R54" s="2"/>
      <c r="AS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D54" s="2"/>
      <c r="CE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E54" s="2"/>
    </row>
    <row r="55" spans="2:109"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R55" s="2"/>
      <c r="AS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D55" s="2"/>
      <c r="CE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E55" s="2"/>
    </row>
    <row r="56" spans="2:109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R56" s="2"/>
      <c r="AS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D56" s="2"/>
      <c r="CE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E56" s="2"/>
    </row>
    <row r="57" spans="2:109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R57" s="2"/>
      <c r="AS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D57" s="2"/>
      <c r="CE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E57" s="2"/>
    </row>
    <row r="58" spans="2:109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R58" s="2"/>
      <c r="AS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D58" s="2"/>
      <c r="CE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E58" s="2"/>
    </row>
    <row r="59" spans="2:109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R59" s="2"/>
      <c r="AS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D59" s="2"/>
      <c r="CE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E59" s="2"/>
    </row>
    <row r="60" spans="2:109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R60" s="2"/>
      <c r="AS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D60" s="2"/>
      <c r="CE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E60" s="2"/>
    </row>
    <row r="61" spans="2:109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R61" s="2"/>
      <c r="AS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D61" s="2"/>
      <c r="CE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E61" s="2"/>
    </row>
    <row r="62" spans="2:109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R62" s="2"/>
      <c r="AS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D62" s="2"/>
      <c r="CE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E62" s="2"/>
    </row>
    <row r="63" spans="2:109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R63" s="2"/>
      <c r="AS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D63" s="2"/>
      <c r="CE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E63" s="2"/>
    </row>
    <row r="64" spans="2:109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R64" s="2"/>
      <c r="AS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D64" s="2"/>
      <c r="CE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E64" s="2"/>
    </row>
    <row r="65" spans="2:109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R65" s="2"/>
      <c r="AS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D65" s="2"/>
      <c r="CE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E65" s="2"/>
    </row>
    <row r="66" spans="2:109"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R66" s="2"/>
      <c r="AS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D66" s="2"/>
      <c r="CE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E66" s="2"/>
    </row>
    <row r="67" spans="2:109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R67" s="2"/>
      <c r="AS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D67" s="2"/>
      <c r="CE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E67" s="2"/>
    </row>
    <row r="68" spans="2:109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R68" s="2"/>
      <c r="AS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D68" s="2"/>
      <c r="CE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E68" s="2"/>
    </row>
    <row r="69" spans="2:109"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R69" s="2"/>
      <c r="AS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D69" s="2"/>
      <c r="CE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E69" s="2"/>
    </row>
    <row r="70" spans="2:109"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R70" s="2"/>
      <c r="AS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D70" s="2"/>
      <c r="CE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E70" s="2"/>
    </row>
    <row r="71" spans="2:109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R71" s="2"/>
      <c r="AS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D71" s="2"/>
      <c r="CE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E71" s="2"/>
    </row>
    <row r="72" spans="2:109"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R72" s="2"/>
      <c r="AS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D72" s="2"/>
      <c r="CE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E72" s="2"/>
    </row>
    <row r="73" spans="2:109"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R73" s="2"/>
      <c r="AS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D73" s="2"/>
      <c r="CE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E73" s="2"/>
    </row>
    <row r="74" spans="2:109"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R74" s="2"/>
      <c r="AS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D74" s="2"/>
      <c r="CE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E74" s="2"/>
    </row>
    <row r="75" spans="2:109"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R75" s="2"/>
      <c r="AS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D75" s="2"/>
      <c r="CE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E75" s="2"/>
    </row>
    <row r="76" spans="2:109"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R76" s="2"/>
      <c r="AS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D76" s="2"/>
      <c r="CE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E76" s="2"/>
    </row>
    <row r="77" spans="2:109"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R77" s="2"/>
      <c r="AS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D77" s="2"/>
      <c r="CE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E77" s="2"/>
    </row>
    <row r="78" spans="2:109"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R78" s="2"/>
      <c r="AS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D78" s="2"/>
      <c r="CE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E78" s="2"/>
    </row>
    <row r="79" spans="2:109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R79" s="2"/>
      <c r="AS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D79" s="2"/>
      <c r="CE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E79" s="2"/>
    </row>
    <row r="80" spans="2:109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R80" s="2"/>
      <c r="AS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D80" s="2"/>
      <c r="CE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E80" s="2"/>
    </row>
    <row r="81" spans="2:109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R81" s="2"/>
      <c r="AS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D81" s="2"/>
      <c r="CE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E81" s="2"/>
    </row>
    <row r="82" spans="2:109"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R82" s="2"/>
      <c r="AS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D82" s="2"/>
      <c r="CE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E82" s="2"/>
    </row>
    <row r="83" spans="2:109"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R83" s="2"/>
      <c r="AS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D83" s="2"/>
      <c r="CE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E83" s="2"/>
    </row>
    <row r="84" spans="2:109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R84" s="2"/>
      <c r="AS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D84" s="2"/>
      <c r="CE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E84" s="2"/>
    </row>
    <row r="85" spans="2:109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R85" s="2"/>
      <c r="AS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D85" s="2"/>
      <c r="CE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E85" s="2"/>
    </row>
    <row r="86" spans="2:109"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R86" s="2"/>
      <c r="AS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D86" s="2"/>
      <c r="CE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E86" s="2"/>
    </row>
    <row r="87" spans="2:109"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R87" s="2"/>
      <c r="AS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D87" s="2"/>
      <c r="CE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E87" s="2"/>
    </row>
    <row r="88" spans="2:109"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R88" s="2"/>
      <c r="AS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D88" s="2"/>
      <c r="CE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E88" s="2"/>
    </row>
    <row r="89" spans="2:109"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R89" s="2"/>
      <c r="AS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D89" s="2"/>
      <c r="CE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E89" s="2"/>
    </row>
    <row r="90" spans="2:109"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R90" s="2"/>
      <c r="AS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D90" s="2"/>
      <c r="CE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E90" s="2"/>
    </row>
    <row r="91" spans="2:109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R91" s="2"/>
      <c r="AS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D91" s="2"/>
      <c r="CE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E91" s="2"/>
    </row>
    <row r="92" spans="2:109"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R92" s="2"/>
      <c r="AS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D92" s="2"/>
      <c r="CE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E92" s="2"/>
    </row>
    <row r="93" spans="2:109"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R93" s="2"/>
      <c r="AS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D93" s="2"/>
      <c r="CE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E93" s="2"/>
    </row>
    <row r="94" spans="2:109"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R94" s="2"/>
      <c r="AS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D94" s="2"/>
      <c r="CE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E94" s="2"/>
    </row>
    <row r="95" spans="2:109"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R95" s="2"/>
      <c r="AS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D95" s="2"/>
      <c r="CE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E95" s="2"/>
    </row>
    <row r="96" spans="2:109"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R96" s="2"/>
      <c r="AS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D96" s="2"/>
      <c r="CE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E96" s="2"/>
    </row>
    <row r="97" spans="2:109"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R97" s="2"/>
      <c r="AS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D97" s="2"/>
      <c r="CE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E97" s="2"/>
    </row>
    <row r="98" spans="2:109"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R98" s="2"/>
      <c r="AS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D98" s="2"/>
      <c r="CE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E98" s="2"/>
    </row>
    <row r="99" spans="2:109"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R99" s="2"/>
      <c r="AS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D99" s="2"/>
      <c r="CE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E99" s="2"/>
    </row>
    <row r="100" spans="2:109"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R100" s="2"/>
      <c r="AS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D100" s="2"/>
      <c r="CE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E100" s="2"/>
    </row>
    <row r="101" spans="2:109"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R101" s="2"/>
      <c r="AS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D101" s="2"/>
      <c r="CE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E101" s="2"/>
    </row>
    <row r="102" spans="2:109"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R102" s="2"/>
      <c r="AS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D102" s="2"/>
      <c r="CE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E102" s="2"/>
    </row>
    <row r="103" spans="2:109"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R103" s="2"/>
      <c r="AS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D103" s="2"/>
      <c r="CE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E103" s="2"/>
    </row>
    <row r="104" spans="2:109"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R104" s="2"/>
      <c r="AS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D104" s="2"/>
      <c r="CE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E104" s="2"/>
    </row>
    <row r="105" spans="2:109"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R105" s="2"/>
      <c r="AS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D105" s="2"/>
      <c r="CE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E105" s="2"/>
    </row>
    <row r="106" spans="2:109"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R106" s="2"/>
      <c r="AS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D106" s="2"/>
      <c r="CE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E106" s="2"/>
    </row>
    <row r="107" spans="2:109"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R107" s="2"/>
      <c r="AS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D107" s="2"/>
      <c r="CE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E107" s="2"/>
    </row>
    <row r="108" spans="2:109"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R108" s="2"/>
      <c r="AS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D108" s="2"/>
      <c r="CE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E108" s="2"/>
    </row>
    <row r="109" spans="2:109"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R109" s="2"/>
      <c r="AS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D109" s="2"/>
      <c r="CE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E109" s="2"/>
    </row>
    <row r="110" spans="2:109"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R110" s="2"/>
      <c r="AS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D110" s="2"/>
      <c r="CE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E110" s="2"/>
    </row>
    <row r="111" spans="2:109"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R111" s="2"/>
      <c r="AS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D111" s="2"/>
      <c r="CE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E111" s="2"/>
    </row>
    <row r="112" spans="2:109"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R112" s="2"/>
      <c r="AS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D112" s="2"/>
      <c r="CE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E112" s="2"/>
    </row>
    <row r="113" spans="2:109"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R113" s="2"/>
      <c r="AS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D113" s="2"/>
      <c r="CE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E113" s="2"/>
    </row>
    <row r="114" spans="2:109"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R114" s="2"/>
      <c r="AS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D114" s="2"/>
      <c r="CE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E114" s="2"/>
    </row>
    <row r="115" spans="2:109"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R115" s="2"/>
      <c r="AS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D115" s="2"/>
      <c r="CE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E115" s="2"/>
    </row>
    <row r="116" spans="2:109"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R116" s="2"/>
      <c r="AS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D116" s="2"/>
      <c r="CE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E116" s="2"/>
    </row>
    <row r="117" spans="2:109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R117" s="2"/>
      <c r="AS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D117" s="2"/>
      <c r="CE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E117" s="2"/>
    </row>
    <row r="118" spans="2:109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R118" s="2"/>
      <c r="AS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D118" s="2"/>
      <c r="CE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E118" s="2"/>
    </row>
    <row r="119" spans="2:109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R119" s="2"/>
      <c r="AS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D119" s="2"/>
      <c r="CE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E119" s="2"/>
    </row>
    <row r="120" spans="2:109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R120" s="2"/>
      <c r="AS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D120" s="2"/>
      <c r="CE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E120" s="2"/>
    </row>
    <row r="121" spans="2:109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R121" s="2"/>
      <c r="AS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D121" s="2"/>
      <c r="CE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E121" s="2"/>
    </row>
    <row r="122" spans="2:109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R122" s="2"/>
      <c r="AS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D122" s="2"/>
      <c r="CE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E122" s="2"/>
    </row>
    <row r="123" spans="2:109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R123" s="2"/>
      <c r="AS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D123" s="2"/>
      <c r="CE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E123" s="2"/>
    </row>
    <row r="124" spans="2:109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R124" s="2"/>
      <c r="AS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D124" s="2"/>
      <c r="CE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E124" s="2"/>
    </row>
    <row r="125" spans="2:109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R125" s="2"/>
      <c r="AS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D125" s="2"/>
      <c r="CE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E125" s="2"/>
    </row>
    <row r="126" spans="2:109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R126" s="2"/>
      <c r="AS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D126" s="2"/>
      <c r="CE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E126" s="2"/>
    </row>
    <row r="127" spans="2:109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R127" s="2"/>
      <c r="AS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D127" s="2"/>
      <c r="CE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E127" s="2"/>
    </row>
    <row r="128" spans="2:109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R128" s="2"/>
      <c r="AS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D128" s="2"/>
      <c r="CE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E128" s="2"/>
    </row>
    <row r="129" spans="2:109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R129" s="2"/>
      <c r="AS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D129" s="2"/>
      <c r="CE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E129" s="2"/>
    </row>
    <row r="130" spans="2:109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R130" s="2"/>
      <c r="AS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D130" s="2"/>
      <c r="CE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E130" s="2"/>
    </row>
    <row r="131" spans="2:109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R131" s="2"/>
      <c r="AS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D131" s="2"/>
      <c r="CE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E131" s="2"/>
    </row>
    <row r="132" spans="2:109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R132" s="2"/>
      <c r="AS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D132" s="2"/>
      <c r="CE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E132" s="2"/>
    </row>
    <row r="133" spans="2:109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R133" s="2"/>
      <c r="AS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D133" s="2"/>
      <c r="CE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E133" s="2"/>
    </row>
    <row r="134" spans="2:109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R134" s="2"/>
      <c r="AS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D134" s="2"/>
      <c r="CE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E134" s="2"/>
    </row>
    <row r="135" spans="2:109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R135" s="2"/>
      <c r="AS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D135" s="2"/>
      <c r="CE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E135" s="2"/>
    </row>
    <row r="136" spans="2:109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R136" s="2"/>
      <c r="AS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D136" s="2"/>
      <c r="CE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E136" s="2"/>
    </row>
    <row r="137" spans="2:109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R137" s="2"/>
      <c r="AS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D137" s="2"/>
      <c r="CE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E137" s="2"/>
    </row>
    <row r="138" spans="2:109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R138" s="2"/>
      <c r="AS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D138" s="2"/>
      <c r="CE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E138" s="2"/>
    </row>
    <row r="139" spans="2:109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R139" s="2"/>
      <c r="AS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D139" s="2"/>
      <c r="CE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E139" s="2"/>
    </row>
    <row r="140" spans="2:109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R140" s="2"/>
      <c r="AS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D140" s="2"/>
      <c r="CE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E140" s="2"/>
    </row>
    <row r="141" spans="2:109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R141" s="2"/>
      <c r="AS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D141" s="2"/>
      <c r="CE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E141" s="2"/>
    </row>
    <row r="142" spans="2:109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R142" s="2"/>
      <c r="AS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D142" s="2"/>
      <c r="CE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E142" s="2"/>
    </row>
    <row r="143" spans="2:109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R143" s="2"/>
      <c r="AS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D143" s="2"/>
      <c r="CE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E143" s="2"/>
    </row>
    <row r="144" spans="2:109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R144" s="2"/>
      <c r="AS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D144" s="2"/>
      <c r="CE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E144" s="2"/>
    </row>
    <row r="145" spans="2:109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R145" s="2"/>
      <c r="AS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D145" s="2"/>
      <c r="CE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E145" s="2"/>
    </row>
    <row r="146" spans="2:109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R146" s="2"/>
      <c r="AS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D146" s="2"/>
      <c r="CE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E146" s="2"/>
    </row>
    <row r="147" spans="2:109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R147" s="2"/>
      <c r="AS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D147" s="2"/>
      <c r="CE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E147" s="2"/>
    </row>
    <row r="148" spans="2:109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R148" s="2"/>
      <c r="AS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D148" s="2"/>
      <c r="CE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E148" s="2"/>
    </row>
    <row r="149" spans="2:109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R149" s="2"/>
      <c r="AS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D149" s="2"/>
      <c r="CE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E149" s="2"/>
    </row>
    <row r="150" spans="2:109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R150" s="2"/>
      <c r="AS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D150" s="2"/>
      <c r="CE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E150" s="2"/>
    </row>
    <row r="151" spans="2:109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R151" s="2"/>
      <c r="AS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D151" s="2"/>
      <c r="CE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E151" s="2"/>
    </row>
    <row r="152" spans="2:109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R152" s="2"/>
      <c r="AS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D152" s="2"/>
      <c r="CE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E152" s="2"/>
    </row>
    <row r="153" spans="2:109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R153" s="2"/>
      <c r="AS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D153" s="2"/>
      <c r="CE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E153" s="2"/>
    </row>
    <row r="154" spans="2:109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R154" s="2"/>
      <c r="AS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D154" s="2"/>
      <c r="CE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E154" s="2"/>
    </row>
    <row r="155" spans="2:109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R155" s="2"/>
      <c r="AS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D155" s="2"/>
      <c r="CE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E155" s="2"/>
    </row>
    <row r="156" spans="2:109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R156" s="2"/>
      <c r="AS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D156" s="2"/>
      <c r="CE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E156" s="2"/>
    </row>
    <row r="157" spans="2:109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R157" s="2"/>
      <c r="AS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D157" s="2"/>
      <c r="CE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E157" s="2"/>
    </row>
    <row r="158" spans="2:109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R158" s="2"/>
      <c r="AS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D158" s="2"/>
      <c r="CE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E158" s="2"/>
    </row>
    <row r="159" spans="2:109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R159" s="2"/>
      <c r="AS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D159" s="2"/>
      <c r="CE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E159" s="2"/>
    </row>
    <row r="160" spans="2:109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R160" s="2"/>
      <c r="AS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D160" s="2"/>
      <c r="CE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E160" s="2"/>
    </row>
    <row r="161" spans="2:109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R161" s="2"/>
      <c r="AS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D161" s="2"/>
      <c r="CE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E161" s="2"/>
    </row>
    <row r="162" spans="2:109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R162" s="2"/>
      <c r="AS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D162" s="2"/>
      <c r="CE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E162" s="2"/>
    </row>
    <row r="163" spans="2:109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R163" s="2"/>
      <c r="AS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D163" s="2"/>
      <c r="CE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E163" s="2"/>
    </row>
    <row r="164" spans="2:109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R164" s="2"/>
      <c r="AS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D164" s="2"/>
      <c r="CE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E164" s="2"/>
    </row>
    <row r="165" spans="2:109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R165" s="2"/>
      <c r="AS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D165" s="2"/>
      <c r="CE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E165" s="2"/>
    </row>
    <row r="166" spans="2:109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R166" s="2"/>
      <c r="AS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D166" s="2"/>
      <c r="CE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E166" s="2"/>
    </row>
    <row r="167" spans="2:109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R167" s="2"/>
      <c r="AS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D167" s="2"/>
      <c r="CE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E167" s="2"/>
    </row>
    <row r="168" spans="2:109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R168" s="2"/>
      <c r="AS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D168" s="2"/>
      <c r="CE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E168" s="2"/>
    </row>
    <row r="169" spans="2:109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R169" s="2"/>
      <c r="AS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D169" s="2"/>
      <c r="CE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E169" s="2"/>
    </row>
    <row r="170" spans="2:109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R170" s="2"/>
      <c r="AS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D170" s="2"/>
      <c r="CE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E170" s="2"/>
    </row>
    <row r="171" spans="2:109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R171" s="2"/>
      <c r="AS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D171" s="2"/>
      <c r="CE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E171" s="2"/>
    </row>
    <row r="172" spans="2:109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R172" s="2"/>
      <c r="AS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D172" s="2"/>
      <c r="CE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E172" s="2"/>
    </row>
    <row r="173" spans="2:109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R173" s="2"/>
      <c r="AS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D173" s="2"/>
      <c r="CE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E173" s="2"/>
    </row>
    <row r="174" spans="2:109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R174" s="2"/>
      <c r="AS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D174" s="2"/>
      <c r="CE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E174" s="2"/>
    </row>
    <row r="175" spans="2:109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R175" s="2"/>
      <c r="AS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D175" s="2"/>
      <c r="CE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E175" s="2"/>
    </row>
    <row r="176" spans="2:109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R176" s="2"/>
      <c r="AS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D176" s="2"/>
      <c r="CE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E176" s="2"/>
    </row>
    <row r="177" spans="2:109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R177" s="2"/>
      <c r="AS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D177" s="2"/>
      <c r="CE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E177" s="2"/>
    </row>
    <row r="178" spans="2:109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R178" s="2"/>
      <c r="AS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D178" s="2"/>
      <c r="CE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E178" s="2"/>
    </row>
    <row r="179" spans="2:109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R179" s="2"/>
      <c r="AS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D179" s="2"/>
      <c r="CE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E179" s="2"/>
    </row>
    <row r="180" spans="2:109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R180" s="2"/>
      <c r="AS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D180" s="2"/>
      <c r="CE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E180" s="2"/>
    </row>
    <row r="181" spans="2:109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R181" s="2"/>
      <c r="AS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D181" s="2"/>
      <c r="CE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E181" s="2"/>
    </row>
    <row r="182" spans="2:109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R182" s="2"/>
      <c r="AS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D182" s="2"/>
      <c r="CE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E182" s="2"/>
    </row>
    <row r="183" spans="2:109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R183" s="2"/>
      <c r="AS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D183" s="2"/>
      <c r="CE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E183" s="2"/>
    </row>
    <row r="184" spans="2:109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R184" s="2"/>
      <c r="AS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D184" s="2"/>
      <c r="CE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E184" s="2"/>
    </row>
    <row r="185" spans="2:109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R185" s="2"/>
      <c r="AS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D185" s="2"/>
      <c r="CE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E185" s="2"/>
    </row>
    <row r="186" spans="2:109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R186" s="2"/>
      <c r="AS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D186" s="2"/>
      <c r="CE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E186" s="2"/>
    </row>
    <row r="187" spans="2:109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R187" s="2"/>
      <c r="AS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D187" s="2"/>
      <c r="CE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E187" s="2"/>
    </row>
    <row r="188" spans="2:109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R188" s="2"/>
      <c r="AS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D188" s="2"/>
      <c r="CE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E188" s="2"/>
    </row>
    <row r="189" spans="2:109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R189" s="2"/>
      <c r="AS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D189" s="2"/>
      <c r="CE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E189" s="2"/>
    </row>
    <row r="190" spans="2:109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R190" s="2"/>
      <c r="AS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D190" s="2"/>
      <c r="CE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E190" s="2"/>
    </row>
    <row r="191" spans="2:109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R191" s="2"/>
      <c r="AS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D191" s="2"/>
      <c r="CE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E191" s="2"/>
    </row>
    <row r="192" spans="2:109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R192" s="2"/>
      <c r="AS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D192" s="2"/>
      <c r="CE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E192" s="2"/>
    </row>
    <row r="193" spans="2:109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R193" s="2"/>
      <c r="AS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D193" s="2"/>
      <c r="CE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E193" s="2"/>
    </row>
    <row r="194" spans="2:109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R194" s="2"/>
      <c r="AS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D194" s="2"/>
      <c r="CE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E194" s="2"/>
    </row>
    <row r="195" spans="2:109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R195" s="2"/>
      <c r="AS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D195" s="2"/>
      <c r="CE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E195" s="2"/>
    </row>
    <row r="196" spans="2:109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R196" s="2"/>
      <c r="AS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D196" s="2"/>
      <c r="CE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E196" s="2"/>
    </row>
    <row r="197" spans="2:109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R197" s="2"/>
      <c r="AS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D197" s="2"/>
      <c r="CE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E197" s="2"/>
    </row>
    <row r="198" spans="2:109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R198" s="2"/>
      <c r="AS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D198" s="2"/>
      <c r="CE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E198" s="2"/>
    </row>
    <row r="199" spans="2:109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R199" s="2"/>
      <c r="AS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D199" s="2"/>
      <c r="CE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4"/>
      <c r="CZ199" s="2"/>
      <c r="DA199" s="2"/>
      <c r="DB199" s="2"/>
      <c r="DE199" s="2"/>
    </row>
    <row r="200" spans="2:109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R200" s="2"/>
      <c r="AS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D200" s="2"/>
      <c r="CE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E200" s="2"/>
    </row>
  </sheetData>
  <sheetProtection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Accounting Sheet</vt:lpstr>
      <vt:lpstr>raw_daily_calls</vt:lpstr>
      <vt:lpstr>raw inputs</vt:lpstr>
      <vt:lpstr>all downloaded data crosstab</vt:lpstr>
      <vt:lpstr>xml-rpc test</vt:lpstr>
      <vt:lpstr>data_inputs</vt:lpstr>
      <vt:lpstr>data_inputs_dates</vt:lpstr>
      <vt:lpstr>data_inputs_indices</vt:lpstr>
      <vt:lpstr>date_param</vt:lpstr>
      <vt:lpstr>param1</vt:lpstr>
      <vt:lpstr>'Accounting Sheet'!Print_Area</vt:lpstr>
      <vt:lpstr>raw_call_data</vt:lpstr>
      <vt:lpstr>start_date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Brannon</dc:creator>
  <cp:lastModifiedBy>Kelly</cp:lastModifiedBy>
  <cp:lastPrinted>2010-02-16T23:24:05Z</cp:lastPrinted>
  <dcterms:created xsi:type="dcterms:W3CDTF">2010-01-08T07:39:37Z</dcterms:created>
  <dcterms:modified xsi:type="dcterms:W3CDTF">2010-08-16T23:37:46Z</dcterms:modified>
</cp:coreProperties>
</file>